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stlife" sheetId="1" r:id="rId5"/>
    <sheet state="visible" name="IVHome" sheetId="2" r:id="rId6"/>
    <sheet state="visible" name="Peptides" sheetId="3" r:id="rId7"/>
    <sheet state="visible" name="DIFC" sheetId="4" r:id="rId8"/>
    <sheet state="visible" name="Palm" sheetId="5" r:id="rId9"/>
    <sheet state="visible" name="Sales Report" sheetId="6" r:id="rId10"/>
    <sheet state="visible" name="Employeewise Report" sheetId="7" r:id="rId11"/>
    <sheet state="visible" name="DIFC Expense" sheetId="8" r:id="rId12"/>
    <sheet state="visible" name="Palm Expense" sheetId="9" r:id="rId13"/>
  </sheets>
  <definedNames/>
  <calcPr/>
</workbook>
</file>

<file path=xl/sharedStrings.xml><?xml version="1.0" encoding="utf-8"?>
<sst xmlns="http://schemas.openxmlformats.org/spreadsheetml/2006/main" count="298" uniqueCount="200">
  <si>
    <t>DATE</t>
  </si>
  <si>
    <t>Client Name</t>
  </si>
  <si>
    <t>Reference Code</t>
  </si>
  <si>
    <t>Payment mode</t>
  </si>
  <si>
    <t>Amount ON JL Portal</t>
  </si>
  <si>
    <t>Booking amount without Discount</t>
  </si>
  <si>
    <t>Discount given</t>
  </si>
  <si>
    <t>Service Total no VAT</t>
  </si>
  <si>
    <t>Service Name</t>
  </si>
  <si>
    <t>Contact No</t>
  </si>
  <si>
    <t>LOCATION</t>
  </si>
  <si>
    <t>Provider</t>
  </si>
  <si>
    <t>IV Commission</t>
  </si>
  <si>
    <t>Partner Receives or Owes</t>
  </si>
  <si>
    <t>Dosage</t>
  </si>
  <si>
    <t>1st June</t>
  </si>
  <si>
    <t>Ellie Scales</t>
  </si>
  <si>
    <t xml:space="preserve">	EF1002</t>
  </si>
  <si>
    <t>JUSTLIFE</t>
  </si>
  <si>
    <t>Hydration Drip X 2</t>
  </si>
  <si>
    <t>Dubai</t>
  </si>
  <si>
    <t>SUMI</t>
  </si>
  <si>
    <t>250 ML NS X 2</t>
  </si>
  <si>
    <t>2nd June</t>
  </si>
  <si>
    <t xml:space="preserve">	Luis Fernando Key</t>
  </si>
  <si>
    <t xml:space="preserve">	0B65D1</t>
  </si>
  <si>
    <t xml:space="preserve">MIC Booster &amp; Oxygen Theraphy &amp; NAD 500mg </t>
  </si>
  <si>
    <t xml:space="preserve">	Dubai Marina</t>
  </si>
  <si>
    <t>Kamla</t>
  </si>
  <si>
    <t>MG NAD 172 3 ml in 500 ml ns + B12 1 ml IM + 30 minutes oxygen therapy + gluta 3 vials in 250 ml ns</t>
  </si>
  <si>
    <t>3rd June</t>
  </si>
  <si>
    <t>Michael Patryn</t>
  </si>
  <si>
    <t>315172</t>
  </si>
  <si>
    <t>CASH</t>
  </si>
  <si>
    <t>Post Party Hub + Cleanse Hub</t>
  </si>
  <si>
    <t>The Palm Jumeirah</t>
  </si>
  <si>
    <t>Jaliska</t>
  </si>
  <si>
    <t xml:space="preserve">VM 114 5ml + 1 GLUTA in 500ml NS + LCD 96 10ml in 500ml NS </t>
  </si>
  <si>
    <t>Test456</t>
  </si>
  <si>
    <t>ddd</t>
  </si>
  <si>
    <t>Test 2</t>
  </si>
  <si>
    <t xml:space="preserve">Date </t>
  </si>
  <si>
    <t>NAME</t>
  </si>
  <si>
    <t>CX (existing/new)</t>
  </si>
  <si>
    <t>NUMBER</t>
  </si>
  <si>
    <t>Booking Amount</t>
  </si>
  <si>
    <t>VAT 5%</t>
  </si>
  <si>
    <t>POS</t>
  </si>
  <si>
    <t>ONLINE</t>
  </si>
  <si>
    <t>PREPAID DATE</t>
  </si>
  <si>
    <t>Upsell Amt</t>
  </si>
  <si>
    <t>Remarks</t>
  </si>
  <si>
    <t>Dr. Dimitri</t>
  </si>
  <si>
    <t>971 50 269 6659</t>
  </si>
  <si>
    <t xml:space="preserve">Wadi Al Safa 5 </t>
  </si>
  <si>
    <t xml:space="preserve">Recovery Hub + Energy Hub </t>
  </si>
  <si>
    <t xml:space="preserve">IMB 156 10 ml in 500 ml ns + PST 90 10 ml in 500 ml ns </t>
  </si>
  <si>
    <t>Offer</t>
  </si>
  <si>
    <t>Jonathan Bosch</t>
  </si>
  <si>
    <t>auh</t>
  </si>
  <si>
    <t xml:space="preserve">Supreme Drip ( Birthday Discount) </t>
  </si>
  <si>
    <t>20%  Birthday Discount</t>
  </si>
  <si>
    <t xml:space="preserve">2nd June </t>
  </si>
  <si>
    <t xml:space="preserve">Nathan </t>
  </si>
  <si>
    <t xml:space="preserve"> DAMAC Hills</t>
  </si>
  <si>
    <t xml:space="preserve">IV administration + addon Multivitamin + Inj Emeset </t>
  </si>
  <si>
    <t>PST 87 10 ml in 500 ml ns + In emeset</t>
  </si>
  <si>
    <t>199+699+299</t>
  </si>
  <si>
    <t>IV upsell</t>
  </si>
  <si>
    <t>Delivery Charges</t>
  </si>
  <si>
    <t>Converted By</t>
  </si>
  <si>
    <t>Rim Dagher</t>
  </si>
  <si>
    <t>Szr, Dubai</t>
  </si>
  <si>
    <t>NAD 850 mg</t>
  </si>
  <si>
    <t>Utkash</t>
  </si>
  <si>
    <t>Ammer Hanif</t>
  </si>
  <si>
    <t>CJC + Ipa</t>
  </si>
  <si>
    <t>Dinel</t>
  </si>
  <si>
    <t>Through App</t>
  </si>
  <si>
    <t>Sl No</t>
  </si>
  <si>
    <t>Date</t>
  </si>
  <si>
    <t>Name</t>
  </si>
  <si>
    <t>New CX</t>
  </si>
  <si>
    <t>Department</t>
  </si>
  <si>
    <t>Daily Revenue</t>
  </si>
  <si>
    <t>Service Total With VAT</t>
  </si>
  <si>
    <t>Cash</t>
  </si>
  <si>
    <t>Online VAT</t>
  </si>
  <si>
    <t>POS no vat</t>
  </si>
  <si>
    <t>Classpass</t>
  </si>
  <si>
    <t>Groupon</t>
  </si>
  <si>
    <t>Online no VAT</t>
  </si>
  <si>
    <t>Prepaid date</t>
  </si>
  <si>
    <t>Session no.</t>
  </si>
  <si>
    <t>Upsell amount</t>
  </si>
  <si>
    <t>Therapist</t>
  </si>
  <si>
    <t>Rathath Al</t>
  </si>
  <si>
    <t>Beauty Therapy</t>
  </si>
  <si>
    <t>Therapist  Fatoom</t>
  </si>
  <si>
    <t xml:space="preserve">Revitalizing hydrafacial </t>
  </si>
  <si>
    <t>9th feb</t>
  </si>
  <si>
    <t>Saule Abdizhaparova</t>
  </si>
  <si>
    <t>IV Therapy</t>
  </si>
  <si>
    <t>Nurse Sowmiya</t>
  </si>
  <si>
    <t>Super B's Booster</t>
  </si>
  <si>
    <t>Mariam Omar</t>
  </si>
  <si>
    <t>Laser</t>
  </si>
  <si>
    <t>Therapist Prachi</t>
  </si>
  <si>
    <t>laser - upper lip &amp; chin</t>
  </si>
  <si>
    <t>groupon price- 126 ( 2 area)</t>
  </si>
  <si>
    <t>Sonam Trehan</t>
  </si>
  <si>
    <t>Aesthetic</t>
  </si>
  <si>
    <t>Doctor Haifa</t>
  </si>
  <si>
    <t xml:space="preserve"> face chemical peel</t>
  </si>
  <si>
    <t>21st nov</t>
  </si>
  <si>
    <t xml:space="preserve"> </t>
  </si>
  <si>
    <t>Employee Name</t>
  </si>
  <si>
    <t xml:space="preserve">Still </t>
  </si>
  <si>
    <t>Amount</t>
  </si>
  <si>
    <t xml:space="preserve">
Diana Lorusso</t>
  </si>
  <si>
    <t>Therapist Fatoom</t>
  </si>
  <si>
    <t>body fx - tummy</t>
  </si>
  <si>
    <t>13/5</t>
  </si>
  <si>
    <t xml:space="preserve">
Hadis Mofidi</t>
  </si>
  <si>
    <t>Full Legs</t>
  </si>
  <si>
    <t xml:space="preserve">
Iana Mitskuvene</t>
  </si>
  <si>
    <t>Nurse Anu</t>
  </si>
  <si>
    <t>supreme hub</t>
  </si>
  <si>
    <t xml:space="preserve">Hana Amjad </t>
  </si>
  <si>
    <t xml:space="preserve">lipolab- 5ml </t>
  </si>
  <si>
    <t xml:space="preserve">IV WELLNESS lOUNGE CLINIC </t>
  </si>
  <si>
    <t>21st June</t>
  </si>
  <si>
    <t>No.</t>
  </si>
  <si>
    <t>Mode of Sales</t>
  </si>
  <si>
    <t>No. of clients</t>
  </si>
  <si>
    <t>Total Sales</t>
  </si>
  <si>
    <t xml:space="preserve">POS </t>
  </si>
  <si>
    <t xml:space="preserve">Online </t>
  </si>
  <si>
    <t>Net Credited</t>
  </si>
  <si>
    <t>JustLife</t>
  </si>
  <si>
    <t>30% deduct</t>
  </si>
  <si>
    <t>IVHOME</t>
  </si>
  <si>
    <t>Difc</t>
  </si>
  <si>
    <t>Palm</t>
  </si>
  <si>
    <t>Total sales -DIFC</t>
  </si>
  <si>
    <t>No of bookings</t>
  </si>
  <si>
    <t>Total Revenue</t>
  </si>
  <si>
    <t>Total Upsell</t>
  </si>
  <si>
    <t>Referral</t>
  </si>
  <si>
    <t>Total</t>
  </si>
  <si>
    <t>Tips</t>
  </si>
  <si>
    <t>Beauty</t>
  </si>
  <si>
    <t>Peptides</t>
  </si>
  <si>
    <t>Dr. Haifa</t>
  </si>
  <si>
    <t>Sangeeta</t>
  </si>
  <si>
    <t xml:space="preserve">Prachi </t>
  </si>
  <si>
    <t>Afsana</t>
  </si>
  <si>
    <t>Sowmiya</t>
  </si>
  <si>
    <t>Fatoom</t>
  </si>
  <si>
    <t>TOTAL</t>
  </si>
  <si>
    <t>Total sales -PALM</t>
  </si>
  <si>
    <t>Fatima</t>
  </si>
  <si>
    <t xml:space="preserve">Sowmiya </t>
  </si>
  <si>
    <t>Anu</t>
  </si>
  <si>
    <t>Hannah Peptide</t>
  </si>
  <si>
    <t>Total sales -FIELD</t>
  </si>
  <si>
    <t>Nurse Name</t>
  </si>
  <si>
    <t>Justlife B</t>
  </si>
  <si>
    <t>JL
 revenue</t>
  </si>
  <si>
    <t>JL Upsell</t>
  </si>
  <si>
    <t>NB : Up</t>
  </si>
  <si>
    <t>IVhub B</t>
  </si>
  <si>
    <t>IV revenue</t>
  </si>
  <si>
    <t>IV Upsell</t>
  </si>
  <si>
    <t>Total
 UPSELL
IV+JL</t>
  </si>
  <si>
    <t>Revenue
IV+ JL</t>
  </si>
  <si>
    <t>Refer</t>
  </si>
  <si>
    <t>Tip</t>
  </si>
  <si>
    <t>Mamata</t>
  </si>
  <si>
    <t>Kamala</t>
  </si>
  <si>
    <t>JALISKA</t>
  </si>
  <si>
    <t>Suni</t>
  </si>
  <si>
    <t>CATEGORY</t>
  </si>
  <si>
    <t>PARTICULAR</t>
  </si>
  <si>
    <t>INVOICE AMOUNT</t>
  </si>
  <si>
    <t>PAID BY</t>
  </si>
  <si>
    <t xml:space="preserve">INVOICE </t>
  </si>
  <si>
    <t>Medical Supplies</t>
  </si>
  <si>
    <t>Pharma link - Gluta 25 Boxes</t>
  </si>
  <si>
    <t>Account</t>
  </si>
  <si>
    <t>PAID</t>
  </si>
  <si>
    <t>Car &amp; Fuel</t>
  </si>
  <si>
    <t>Fuel</t>
  </si>
  <si>
    <t>Ankush</t>
  </si>
  <si>
    <t>MISC</t>
  </si>
  <si>
    <t>OpEx</t>
  </si>
  <si>
    <t>Water bottles</t>
  </si>
  <si>
    <t>Machines</t>
  </si>
  <si>
    <t>CapEx</t>
  </si>
  <si>
    <t>Laser Machine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</si>
</sst>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"/>
    <numFmt numFmtId="165" formatCode="m/d"/>
    <numFmt numFmtId="166" formatCode="m/d/yyyy"/>
    <numFmt numFmtId="167" formatCode="mm/dd/yy"/>
    <numFmt numFmtId="168" formatCode="d mmm"/>
  </numFmts>
  <fonts count="32">
    <font>
      <sz val="10.0"/>
      <color rgb="FF000000"/>
      <name val="Arial"/>
      <scheme val="minor"/>
    </font>
    <font>
      <b/>
      <sz val="7.0"/>
      <color rgb="FF000000"/>
      <name val="Montserrat"/>
    </font>
    <font>
      <b/>
      <sz val="7.0"/>
      <color rgb="FFFFFFFF"/>
      <name val="Montserrat"/>
    </font>
    <font>
      <b/>
      <sz val="7.0"/>
      <color theme="1"/>
      <name val="Montserrat"/>
    </font>
    <font>
      <b/>
      <sz val="8.0"/>
      <color rgb="FF000000"/>
      <name val="Montserrat"/>
    </font>
    <font>
      <b/>
      <sz val="8.0"/>
      <color rgb="FFFFFFFF"/>
      <name val="Montserrat"/>
    </font>
    <font>
      <color theme="1"/>
      <name val="Arial"/>
    </font>
    <font>
      <b/>
      <sz val="8.0"/>
      <color rgb="FFFFFFFF"/>
      <name val="Roboto"/>
    </font>
    <font>
      <b/>
      <sz val="8.0"/>
      <color theme="1"/>
      <name val="Roboto"/>
    </font>
    <font>
      <b/>
      <sz val="8.0"/>
      <color theme="1"/>
      <name val="Montserrat"/>
    </font>
    <font>
      <sz val="7.0"/>
      <color theme="1"/>
      <name val="Montserrat"/>
    </font>
    <font>
      <sz val="8.0"/>
      <color theme="1"/>
      <name val="Roboto"/>
    </font>
    <font>
      <b/>
      <sz val="7.0"/>
      <color theme="1"/>
      <name val="Roboto"/>
    </font>
    <font>
      <color theme="1"/>
      <name val="Arial"/>
      <scheme val="minor"/>
    </font>
    <font>
      <sz val="8.0"/>
      <color theme="1"/>
      <name val="Montserrat"/>
    </font>
    <font/>
    <font>
      <b/>
      <sz val="9.0"/>
      <color theme="1"/>
      <name val="Montserrat"/>
    </font>
    <font>
      <b/>
      <sz val="7.0"/>
      <color theme="1"/>
      <name val="Arial"/>
    </font>
    <font>
      <b/>
      <sz val="6.0"/>
      <color rgb="FFFFFFFF"/>
      <name val="Montserrat"/>
    </font>
    <font>
      <sz val="6.0"/>
      <color rgb="FFFFFFFF"/>
      <name val="Montserrat"/>
    </font>
    <font>
      <sz val="6.0"/>
      <color theme="1"/>
      <name val="Montserrat"/>
    </font>
    <font>
      <b/>
      <sz val="6.0"/>
      <color rgb="FF000000"/>
      <name val="Montserrat"/>
    </font>
    <font>
      <b/>
      <sz val="6.0"/>
      <color theme="1"/>
      <name val="Montserrat"/>
    </font>
    <font>
      <b/>
      <sz val="9.0"/>
      <color rgb="FFFFF2CC"/>
      <name val="Montserrat"/>
    </font>
    <font>
      <sz val="9.0"/>
      <color theme="1"/>
      <name val="Montserrat"/>
    </font>
    <font>
      <color theme="1"/>
      <name val="Montserrat"/>
    </font>
    <font>
      <b/>
      <sz val="9.0"/>
      <color rgb="FFFFFFFF"/>
      <name val="Montserrat"/>
    </font>
    <font>
      <b/>
      <sz val="8.0"/>
      <color rgb="FF00FF00"/>
      <name val="Montserrat"/>
    </font>
    <font>
      <b/>
      <sz val="9.0"/>
      <color rgb="FFFFFFFF"/>
      <name val="Arial"/>
      <scheme val="minor"/>
    </font>
    <font>
      <b/>
      <color theme="1"/>
      <name val="Montserrat"/>
    </font>
    <font>
      <sz val="9.0"/>
      <color theme="1"/>
      <name val="Arial"/>
      <scheme val="minor"/>
    </font>
    <font>
      <b/>
      <color rgb="FF00FF00"/>
      <name val="Arial"/>
      <scheme val="minor"/>
    </font>
  </fonts>
  <fills count="3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20124D"/>
        <bgColor rgb="FF20124D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A2C4C9"/>
        <bgColor rgb="FFA2C4C9"/>
      </patternFill>
    </fill>
    <fill>
      <patternFill patternType="solid">
        <fgColor rgb="FF6FA8DC"/>
        <bgColor rgb="FF6FA8DC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FF00FF"/>
        <bgColor rgb="FFFF00FF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F5F7F9"/>
        <bgColor rgb="FFF5F7F9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0C343D"/>
        <bgColor rgb="FF0C343D"/>
      </patternFill>
    </fill>
    <fill>
      <patternFill patternType="solid">
        <fgColor rgb="FF6AA84F"/>
        <bgColor rgb="FF6AA84F"/>
      </patternFill>
    </fill>
    <fill>
      <patternFill patternType="solid">
        <fgColor rgb="FF3D85C6"/>
        <bgColor rgb="FF3D85C6"/>
      </patternFill>
    </fill>
    <fill>
      <patternFill patternType="solid">
        <fgColor rgb="FF8E7CC3"/>
        <bgColor rgb="FF8E7CC3"/>
      </patternFill>
    </fill>
    <fill>
      <patternFill patternType="solid">
        <fgColor rgb="FF351C75"/>
        <bgColor rgb="FF351C75"/>
      </patternFill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  <fill>
      <patternFill patternType="solid">
        <fgColor rgb="FF073763"/>
        <bgColor rgb="FF073763"/>
      </patternFill>
    </fill>
    <fill>
      <patternFill patternType="solid">
        <fgColor rgb="FFF6B26B"/>
        <bgColor rgb="FFF6B26B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28">
    <xf borderId="0" fillId="0" fontId="0" numFmtId="0" xfId="0" applyAlignment="1" applyFont="1">
      <alignment readingOrder="0" shrinkToFit="0" vertical="bottom" wrapText="0"/>
    </xf>
    <xf borderId="0" fillId="2" fontId="1" numFmtId="4" xfId="0" applyAlignment="1" applyFill="1" applyFont="1" applyNumberFormat="1">
      <alignment horizontal="center" shrinkToFit="0" vertical="bottom" wrapText="1"/>
    </xf>
    <xf borderId="0" fillId="2" fontId="1" numFmtId="49" xfId="0" applyAlignment="1" applyFont="1" applyNumberFormat="1">
      <alignment horizontal="center" shrinkToFit="0" vertical="bottom" wrapText="1"/>
    </xf>
    <xf borderId="0" fillId="3" fontId="1" numFmtId="4" xfId="0" applyAlignment="1" applyFill="1" applyFont="1" applyNumberFormat="1">
      <alignment horizontal="center" shrinkToFit="0" vertical="bottom" wrapText="1"/>
    </xf>
    <xf borderId="0" fillId="4" fontId="2" numFmtId="4" xfId="0" applyAlignment="1" applyFill="1" applyFont="1" applyNumberFormat="1">
      <alignment horizontal="center" shrinkToFit="0" vertical="bottom" wrapText="1"/>
    </xf>
    <xf borderId="0" fillId="5" fontId="3" numFmtId="4" xfId="0" applyAlignment="1" applyFill="1" applyFont="1" applyNumberForma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0" fillId="2" fontId="4" numFmtId="0" xfId="0" applyAlignment="1" applyFont="1">
      <alignment horizontal="center" readingOrder="0" shrinkToFit="0" vertical="bottom" wrapText="1"/>
    </xf>
    <xf borderId="0" fillId="4" fontId="2" numFmtId="0" xfId="0" applyAlignment="1" applyFont="1">
      <alignment horizontal="center" shrinkToFit="0" vertical="bottom" wrapText="1"/>
    </xf>
    <xf borderId="0" fillId="2" fontId="1" numFmtId="4" xfId="0" applyAlignment="1" applyFont="1" applyNumberFormat="1">
      <alignment horizontal="center" readingOrder="0" shrinkToFit="0" vertical="bottom" wrapText="1"/>
    </xf>
    <xf borderId="0" fillId="4" fontId="5" numFmtId="4" xfId="0" applyAlignment="1" applyFont="1" applyNumberFormat="1">
      <alignment horizontal="center" shrinkToFit="0" vertical="bottom" wrapText="1"/>
    </xf>
    <xf borderId="2" fillId="3" fontId="6" numFmtId="49" xfId="0" applyAlignment="1" applyBorder="1" applyFont="1" applyNumberFormat="1">
      <alignment vertical="bottom"/>
    </xf>
    <xf borderId="2" fillId="0" fontId="6" numFmtId="0" xfId="0" applyAlignment="1" applyBorder="1" applyFont="1">
      <alignment vertical="bottom"/>
    </xf>
    <xf borderId="2" fillId="6" fontId="7" numFmtId="4" xfId="0" applyAlignment="1" applyBorder="1" applyFill="1" applyFont="1" applyNumberFormat="1">
      <alignment horizontal="center" shrinkToFit="0" vertical="bottom" wrapText="1"/>
    </xf>
    <xf borderId="2" fillId="3" fontId="6" numFmtId="4" xfId="0" applyAlignment="1" applyBorder="1" applyFont="1" applyNumberFormat="1">
      <alignment vertical="bottom"/>
    </xf>
    <xf borderId="2" fillId="7" fontId="6" numFmtId="4" xfId="0" applyAlignment="1" applyBorder="1" applyFill="1" applyFont="1" applyNumberFormat="1">
      <alignment vertical="bottom"/>
    </xf>
    <xf borderId="2" fillId="8" fontId="8" numFmtId="4" xfId="0" applyAlignment="1" applyBorder="1" applyFill="1" applyFont="1" applyNumberFormat="1">
      <alignment horizontal="center" shrinkToFit="0" vertical="bottom" wrapText="1"/>
    </xf>
    <xf borderId="2" fillId="3" fontId="6" numFmtId="0" xfId="0" applyAlignment="1" applyBorder="1" applyFont="1">
      <alignment vertical="bottom"/>
    </xf>
    <xf borderId="0" fillId="9" fontId="9" numFmtId="4" xfId="0" applyAlignment="1" applyFill="1" applyFont="1" applyNumberFormat="1">
      <alignment horizontal="center" shrinkToFit="0" vertical="bottom" wrapText="1"/>
    </xf>
    <xf borderId="0" fillId="10" fontId="9" numFmtId="4" xfId="0" applyAlignment="1" applyFill="1" applyFont="1" applyNumberFormat="1">
      <alignment horizontal="center" shrinkToFit="0" vertical="bottom" wrapText="1"/>
    </xf>
    <xf borderId="2" fillId="3" fontId="10" numFmtId="0" xfId="0" applyAlignment="1" applyBorder="1" applyFont="1">
      <alignment horizontal="center" shrinkToFit="0" vertical="bottom" wrapText="1"/>
    </xf>
    <xf borderId="2" fillId="3" fontId="8" numFmtId="49" xfId="0" applyAlignment="1" applyBorder="1" applyFont="1" applyNumberFormat="1">
      <alignment horizontal="center" shrinkToFit="0" vertical="bottom" wrapText="1"/>
    </xf>
    <xf borderId="2" fillId="3" fontId="11" numFmtId="49" xfId="0" applyAlignment="1" applyBorder="1" applyFont="1" applyNumberFormat="1">
      <alignment horizontal="center" shrinkToFit="0" vertical="bottom" wrapText="1"/>
    </xf>
    <xf borderId="2" fillId="0" fontId="11" numFmtId="0" xfId="0" applyAlignment="1" applyBorder="1" applyFont="1">
      <alignment horizontal="center" vertical="bottom"/>
    </xf>
    <xf borderId="2" fillId="3" fontId="11" numFmtId="4" xfId="0" applyAlignment="1" applyBorder="1" applyFont="1" applyNumberFormat="1">
      <alignment horizontal="center" vertical="bottom"/>
    </xf>
    <xf borderId="2" fillId="7" fontId="8" numFmtId="4" xfId="0" applyAlignment="1" applyBorder="1" applyFont="1" applyNumberFormat="1">
      <alignment horizontal="center" shrinkToFit="0" vertical="bottom" wrapText="1"/>
    </xf>
    <xf borderId="2" fillId="3" fontId="11" numFmtId="0" xfId="0" applyAlignment="1" applyBorder="1" applyFont="1">
      <alignment horizontal="center" shrinkToFit="0" vertical="bottom" wrapText="1"/>
    </xf>
    <xf borderId="2" fillId="3" fontId="11" numFmtId="0" xfId="0" applyAlignment="1" applyBorder="1" applyFont="1">
      <alignment horizontal="center" vertical="bottom"/>
    </xf>
    <xf borderId="2" fillId="0" fontId="11" numFmtId="0" xfId="0" applyAlignment="1" applyBorder="1" applyFont="1">
      <alignment horizontal="center" shrinkToFit="0" vertical="bottom" wrapText="1"/>
    </xf>
    <xf borderId="2" fillId="0" fontId="11" numFmtId="4" xfId="0" applyAlignment="1" applyBorder="1" applyFont="1" applyNumberFormat="1">
      <alignment horizontal="center" vertical="bottom"/>
    </xf>
    <xf borderId="2" fillId="2" fontId="12" numFmtId="0" xfId="0" applyAlignment="1" applyBorder="1" applyFont="1">
      <alignment horizontal="center" shrinkToFit="0" vertical="bottom" wrapText="1"/>
    </xf>
    <xf borderId="2" fillId="11" fontId="12" numFmtId="0" xfId="0" applyAlignment="1" applyBorder="1" applyFill="1" applyFont="1">
      <alignment horizontal="center" shrinkToFit="0" vertical="bottom" wrapText="1"/>
    </xf>
    <xf borderId="2" fillId="3" fontId="10" numFmtId="0" xfId="0" applyAlignment="1" applyBorder="1" applyFont="1">
      <alignment horizontal="center" readingOrder="0" shrinkToFit="0" vertical="bottom" wrapText="1"/>
    </xf>
    <xf borderId="0" fillId="0" fontId="13" numFmtId="0" xfId="0" applyAlignment="1" applyFont="1">
      <alignment readingOrder="0"/>
    </xf>
    <xf borderId="2" fillId="4" fontId="6" numFmtId="49" xfId="0" applyAlignment="1" applyBorder="1" applyFont="1" applyNumberFormat="1">
      <alignment vertical="bottom"/>
    </xf>
    <xf borderId="2" fillId="4" fontId="6" numFmtId="0" xfId="0" applyAlignment="1" applyBorder="1" applyFont="1">
      <alignment vertical="bottom"/>
    </xf>
    <xf borderId="2" fillId="12" fontId="14" numFmtId="4" xfId="0" applyAlignment="1" applyBorder="1" applyFill="1" applyFont="1" applyNumberFormat="1">
      <alignment horizontal="center" shrinkToFit="0" vertical="bottom" wrapText="1"/>
    </xf>
    <xf borderId="2" fillId="13" fontId="6" numFmtId="4" xfId="0" applyAlignment="1" applyBorder="1" applyFill="1" applyFont="1" applyNumberFormat="1">
      <alignment vertical="bottom"/>
    </xf>
    <xf borderId="3" fillId="14" fontId="9" numFmtId="4" xfId="0" applyAlignment="1" applyBorder="1" applyFill="1" applyFont="1" applyNumberFormat="1">
      <alignment horizontal="center" shrinkToFit="0" vertical="bottom" wrapText="1"/>
    </xf>
    <xf borderId="4" fillId="0" fontId="15" numFmtId="0" xfId="0" applyBorder="1" applyFont="1"/>
    <xf borderId="5" fillId="0" fontId="15" numFmtId="0" xfId="0" applyBorder="1" applyFont="1"/>
    <xf borderId="3" fillId="4" fontId="6" numFmtId="0" xfId="0" applyAlignment="1" applyBorder="1" applyFont="1">
      <alignment vertical="bottom"/>
    </xf>
    <xf borderId="2" fillId="2" fontId="4" numFmtId="49" xfId="0" applyAlignment="1" applyBorder="1" applyFont="1" applyNumberFormat="1">
      <alignment horizontal="center" shrinkToFit="0" vertical="bottom" wrapText="1"/>
    </xf>
    <xf borderId="2" fillId="4" fontId="5" numFmtId="0" xfId="0" applyAlignment="1" applyBorder="1" applyFont="1">
      <alignment horizontal="center" shrinkToFit="0" vertical="bottom" wrapText="1"/>
    </xf>
    <xf borderId="2" fillId="12" fontId="9" numFmtId="4" xfId="0" applyAlignment="1" applyBorder="1" applyFont="1" applyNumberFormat="1">
      <alignment horizontal="center" shrinkToFit="0" vertical="bottom" wrapText="1"/>
    </xf>
    <xf borderId="2" fillId="13" fontId="9" numFmtId="4" xfId="0" applyAlignment="1" applyBorder="1" applyFont="1" applyNumberFormat="1">
      <alignment horizontal="center" shrinkToFit="0" vertical="bottom" wrapText="1"/>
    </xf>
    <xf borderId="2" fillId="2" fontId="4" numFmtId="4" xfId="0" applyAlignment="1" applyBorder="1" applyFont="1" applyNumberFormat="1">
      <alignment horizontal="center" shrinkToFit="0" vertical="bottom" wrapText="1"/>
    </xf>
    <xf borderId="2" fillId="2" fontId="4" numFmtId="0" xfId="0" applyAlignment="1" applyBorder="1" applyFont="1">
      <alignment horizontal="center" readingOrder="0" shrinkToFit="0" vertical="bottom" wrapText="1"/>
    </xf>
    <xf borderId="3" fillId="4" fontId="5" numFmtId="0" xfId="0" applyAlignment="1" applyBorder="1" applyFont="1">
      <alignment horizontal="center" shrinkToFit="0" vertical="bottom" wrapText="1"/>
    </xf>
    <xf borderId="2" fillId="3" fontId="3" numFmtId="0" xfId="0" applyAlignment="1" applyBorder="1" applyFont="1">
      <alignment horizontal="center" shrinkToFit="0" vertical="bottom" wrapText="1"/>
    </xf>
    <xf borderId="2" fillId="0" fontId="9" numFmtId="0" xfId="0" applyAlignment="1" applyBorder="1" applyFont="1">
      <alignment horizontal="center"/>
    </xf>
    <xf borderId="2" fillId="0" fontId="10" numFmtId="0" xfId="0" applyAlignment="1" applyBorder="1" applyFont="1">
      <alignment horizontal="center" shrinkToFit="0" vertical="bottom" wrapText="1"/>
    </xf>
    <xf borderId="2" fillId="0" fontId="10" numFmtId="4" xfId="0" applyAlignment="1" applyBorder="1" applyFont="1" applyNumberFormat="1">
      <alignment horizontal="center" shrinkToFit="0" vertical="bottom" wrapText="1"/>
    </xf>
    <xf borderId="2" fillId="0" fontId="6" numFmtId="4" xfId="0" applyAlignment="1" applyBorder="1" applyFont="1" applyNumberFormat="1">
      <alignment vertical="bottom"/>
    </xf>
    <xf borderId="2" fillId="0" fontId="9" numFmtId="0" xfId="0" applyAlignment="1" applyBorder="1" applyFont="1">
      <alignment horizontal="center" shrinkToFit="0" vertical="bottom" wrapText="1"/>
    </xf>
    <xf borderId="2" fillId="2" fontId="3" numFmtId="0" xfId="0" applyAlignment="1" applyBorder="1" applyFont="1">
      <alignment horizontal="center" shrinkToFit="0" vertical="bottom" wrapText="1"/>
    </xf>
    <xf borderId="2" fillId="0" fontId="9" numFmtId="0" xfId="0" applyAlignment="1" applyBorder="1" applyFont="1">
      <alignment horizontal="center" readingOrder="0"/>
    </xf>
    <xf borderId="0" fillId="15" fontId="6" numFmtId="0" xfId="0" applyAlignment="1" applyFill="1" applyFont="1">
      <alignment vertical="bottom"/>
    </xf>
    <xf borderId="2" fillId="3" fontId="3" numFmtId="0" xfId="0" applyAlignment="1" applyBorder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0" fillId="4" fontId="6" numFmtId="49" xfId="0" applyAlignment="1" applyFont="1" applyNumberFormat="1">
      <alignment vertical="bottom"/>
    </xf>
    <xf borderId="0" fillId="4" fontId="6" numFmtId="0" xfId="0" applyAlignment="1" applyFont="1">
      <alignment vertical="bottom"/>
    </xf>
    <xf borderId="0" fillId="12" fontId="3" numFmtId="4" xfId="0" applyAlignment="1" applyFont="1" applyNumberFormat="1">
      <alignment horizontal="center" shrinkToFit="0" vertical="bottom" wrapText="1"/>
    </xf>
    <xf borderId="0" fillId="13" fontId="3" numFmtId="4" xfId="0" applyAlignment="1" applyFont="1" applyNumberFormat="1">
      <alignment horizontal="center" shrinkToFit="0" vertical="bottom" wrapText="1"/>
    </xf>
    <xf borderId="0" fillId="14" fontId="3" numFmtId="4" xfId="0" applyAlignment="1" applyFont="1" applyNumberFormat="1">
      <alignment horizontal="center" shrinkToFit="0" vertical="bottom" wrapText="1"/>
    </xf>
    <xf borderId="0" fillId="0" fontId="6" numFmtId="0" xfId="0" applyAlignment="1" applyFont="1">
      <alignment vertical="bottom"/>
    </xf>
    <xf borderId="0" fillId="2" fontId="1" numFmtId="0" xfId="0" applyAlignment="1" applyFont="1">
      <alignment horizontal="center" readingOrder="0" shrinkToFit="0" vertical="bottom" wrapText="1"/>
    </xf>
    <xf borderId="0" fillId="2" fontId="1" numFmtId="0" xfId="0" applyAlignment="1" applyFont="1">
      <alignment horizontal="center" shrinkToFit="0" vertical="bottom" wrapText="1"/>
    </xf>
    <xf borderId="0" fillId="16" fontId="16" numFmtId="0" xfId="0" applyAlignment="1" applyFill="1" applyFont="1">
      <alignment horizontal="center" shrinkToFit="0" wrapText="1"/>
    </xf>
    <xf borderId="2" fillId="0" fontId="3" numFmtId="0" xfId="0" applyAlignment="1" applyBorder="1" applyFont="1">
      <alignment horizontal="center" readingOrder="0"/>
    </xf>
    <xf borderId="2" fillId="17" fontId="10" numFmtId="0" xfId="0" applyAlignment="1" applyBorder="1" applyFill="1" applyFont="1">
      <alignment horizontal="center" shrinkToFit="0" vertical="bottom" wrapText="1"/>
    </xf>
    <xf borderId="2" fillId="0" fontId="17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/>
    </xf>
    <xf borderId="0" fillId="18" fontId="6" numFmtId="0" xfId="0" applyAlignment="1" applyFill="1" applyFont="1">
      <alignment vertical="bottom"/>
    </xf>
    <xf borderId="2" fillId="18" fontId="6" numFmtId="0" xfId="0" applyAlignment="1" applyBorder="1" applyFont="1">
      <alignment vertical="bottom"/>
    </xf>
    <xf borderId="2" fillId="18" fontId="6" numFmtId="4" xfId="0" applyAlignment="1" applyBorder="1" applyFont="1" applyNumberFormat="1">
      <alignment vertical="bottom"/>
    </xf>
    <xf borderId="2" fillId="19" fontId="6" numFmtId="4" xfId="0" applyAlignment="1" applyBorder="1" applyFill="1" applyFont="1" applyNumberFormat="1">
      <alignment vertical="bottom"/>
    </xf>
    <xf borderId="2" fillId="20" fontId="6" numFmtId="4" xfId="0" applyAlignment="1" applyBorder="1" applyFill="1" applyFont="1" applyNumberFormat="1">
      <alignment vertical="bottom"/>
    </xf>
    <xf borderId="3" fillId="20" fontId="6" numFmtId="4" xfId="0" applyAlignment="1" applyBorder="1" applyFont="1" applyNumberFormat="1">
      <alignment horizontal="center" readingOrder="0" vertical="bottom"/>
    </xf>
    <xf borderId="3" fillId="18" fontId="6" numFmtId="0" xfId="0" applyAlignment="1" applyBorder="1" applyFont="1">
      <alignment vertical="bottom"/>
    </xf>
    <xf borderId="2" fillId="19" fontId="2" numFmtId="4" xfId="0" applyAlignment="1" applyBorder="1" applyFont="1" applyNumberFormat="1">
      <alignment horizontal="center" shrinkToFit="0" vertical="bottom" wrapText="1"/>
    </xf>
    <xf borderId="2" fillId="18" fontId="2" numFmtId="4" xfId="0" applyAlignment="1" applyBorder="1" applyFont="1" applyNumberFormat="1">
      <alignment horizontal="center" shrinkToFit="0" vertical="bottom" wrapText="1"/>
    </xf>
    <xf borderId="1" fillId="21" fontId="18" numFmtId="0" xfId="0" applyAlignment="1" applyBorder="1" applyFill="1" applyFont="1">
      <alignment horizontal="center" readingOrder="0" shrinkToFit="0" textRotation="0" vertical="bottom" wrapText="1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shrinkToFit="0" vertical="bottom" wrapText="1"/>
    </xf>
    <xf borderId="2" fillId="21" fontId="2" numFmtId="0" xfId="0" applyAlignment="1" applyBorder="1" applyFont="1">
      <alignment horizontal="center" shrinkToFit="0" vertical="bottom" wrapText="1"/>
    </xf>
    <xf borderId="2" fillId="2" fontId="1" numFmtId="0" xfId="0" applyAlignment="1" applyBorder="1" applyFont="1">
      <alignment horizontal="center" readingOrder="0" shrinkToFit="0" vertical="bottom" wrapText="1"/>
    </xf>
    <xf borderId="2" fillId="22" fontId="2" numFmtId="4" xfId="0" applyAlignment="1" applyBorder="1" applyFill="1" applyFont="1" applyNumberFormat="1">
      <alignment horizontal="center" shrinkToFit="0" vertical="bottom" wrapText="1"/>
    </xf>
    <xf borderId="2" fillId="22" fontId="2" numFmtId="0" xfId="0" applyAlignment="1" applyBorder="1" applyFont="1">
      <alignment horizontal="center" shrinkToFit="0" vertical="bottom" wrapText="1"/>
    </xf>
    <xf borderId="3" fillId="21" fontId="2" numFmtId="0" xfId="0" applyAlignment="1" applyBorder="1" applyFont="1">
      <alignment horizontal="center" shrinkToFit="0" vertical="bottom" wrapText="1"/>
    </xf>
    <xf borderId="3" fillId="4" fontId="19" numFmtId="0" xfId="0" applyAlignment="1" applyBorder="1" applyFont="1">
      <alignment horizontal="center" shrinkToFit="0" vertical="bottom" wrapText="1"/>
    </xf>
    <xf borderId="1" fillId="3" fontId="10" numFmtId="164" xfId="0" applyAlignment="1" applyBorder="1" applyFont="1" applyNumberForma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1" fillId="3" fontId="10" numFmtId="0" xfId="0" applyAlignment="1" applyBorder="1" applyFont="1">
      <alignment horizontal="center" shrinkToFit="0" vertical="bottom" wrapText="1"/>
    </xf>
    <xf borderId="1" fillId="13" fontId="3" numFmtId="4" xfId="0" applyAlignment="1" applyBorder="1" applyFont="1" applyNumberFormat="1">
      <alignment horizontal="center" shrinkToFit="0" vertical="bottom" wrapText="1"/>
    </xf>
    <xf borderId="1" fillId="3" fontId="6" numFmtId="0" xfId="0" applyAlignment="1" applyBorder="1" applyFont="1">
      <alignment vertical="bottom"/>
    </xf>
    <xf borderId="1" fillId="3" fontId="10" numFmtId="0" xfId="0" applyAlignment="1" applyBorder="1" applyFont="1">
      <alignment horizontal="center" vertical="bottom"/>
    </xf>
    <xf borderId="1" fillId="3" fontId="10" numFmtId="165" xfId="0" applyAlignment="1" applyBorder="1" applyFont="1" applyNumberFormat="1">
      <alignment horizontal="center" vertical="bottom"/>
    </xf>
    <xf borderId="3" fillId="0" fontId="6" numFmtId="0" xfId="0" applyAlignment="1" applyBorder="1" applyFont="1">
      <alignment vertical="bottom"/>
    </xf>
    <xf borderId="0" fillId="3" fontId="6" numFmtId="0" xfId="0" applyAlignment="1" applyFont="1">
      <alignment vertical="bottom"/>
    </xf>
    <xf borderId="6" fillId="4" fontId="19" numFmtId="0" xfId="0" applyAlignment="1" applyBorder="1" applyFont="1">
      <alignment horizontal="center" shrinkToFit="0" vertical="bottom" wrapText="1"/>
    </xf>
    <xf borderId="1" fillId="17" fontId="10" numFmtId="0" xfId="0" applyAlignment="1" applyBorder="1" applyFont="1">
      <alignment horizontal="center" shrinkToFit="0" vertical="bottom" wrapText="1"/>
    </xf>
    <xf borderId="1" fillId="17" fontId="6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165" xfId="0" applyAlignment="1" applyBorder="1" applyFont="1" applyNumberFormat="1">
      <alignment vertical="bottom"/>
    </xf>
    <xf borderId="1" fillId="0" fontId="10" numFmtId="165" xfId="0" applyAlignment="1" applyBorder="1" applyFont="1" applyNumberFormat="1">
      <alignment horizontal="center" vertical="bottom"/>
    </xf>
    <xf borderId="2" fillId="3" fontId="10" numFmtId="0" xfId="0" applyAlignment="1" applyBorder="1" applyFont="1">
      <alignment horizontal="center" vertical="bottom"/>
    </xf>
    <xf borderId="3" fillId="0" fontId="10" numFmtId="0" xfId="0" applyAlignment="1" applyBorder="1" applyFont="1">
      <alignment horizontal="center" vertical="bottom"/>
    </xf>
    <xf borderId="2" fillId="3" fontId="10" numFmtId="164" xfId="0" applyAlignment="1" applyBorder="1" applyFont="1" applyNumberFormat="1">
      <alignment horizontal="center" shrinkToFit="0" vertical="bottom" wrapText="1"/>
    </xf>
    <xf borderId="2" fillId="13" fontId="3" numFmtId="4" xfId="0" applyAlignment="1" applyBorder="1" applyFont="1" applyNumberFormat="1">
      <alignment horizontal="center" shrinkToFit="0" vertical="bottom" wrapText="1"/>
    </xf>
    <xf borderId="2" fillId="0" fontId="10" numFmtId="0" xfId="0" applyAlignment="1" applyBorder="1" applyFont="1">
      <alignment horizontal="center" vertical="bottom"/>
    </xf>
    <xf borderId="2" fillId="0" fontId="10" numFmtId="165" xfId="0" applyAlignment="1" applyBorder="1" applyFont="1" applyNumberFormat="1">
      <alignment horizontal="center" vertical="bottom"/>
    </xf>
    <xf borderId="0" fillId="18" fontId="20" numFmtId="0" xfId="0" applyAlignment="1" applyFont="1">
      <alignment horizontal="center" vertical="bottom"/>
    </xf>
    <xf borderId="0" fillId="18" fontId="6" numFmtId="166" xfId="0" applyAlignment="1" applyFont="1" applyNumberFormat="1">
      <alignment vertical="bottom"/>
    </xf>
    <xf borderId="0" fillId="18" fontId="6" numFmtId="4" xfId="0" applyAlignment="1" applyFont="1" applyNumberFormat="1">
      <alignment vertical="bottom"/>
    </xf>
    <xf borderId="0" fillId="18" fontId="18" numFmtId="4" xfId="0" applyAlignment="1" applyFont="1" applyNumberFormat="1">
      <alignment horizontal="center" shrinkToFit="0" vertical="bottom" wrapText="1"/>
    </xf>
    <xf borderId="0" fillId="19" fontId="18" numFmtId="4" xfId="0" applyAlignment="1" applyFont="1" applyNumberFormat="1">
      <alignment horizontal="center" shrinkToFit="0" vertical="bottom" wrapText="1"/>
    </xf>
    <xf borderId="2" fillId="18" fontId="20" numFmtId="0" xfId="0" applyAlignment="1" applyBorder="1" applyFont="1">
      <alignment horizontal="center" vertical="bottom"/>
    </xf>
    <xf borderId="2" fillId="18" fontId="6" numFmtId="166" xfId="0" applyAlignment="1" applyBorder="1" applyFont="1" applyNumberFormat="1">
      <alignment vertical="bottom"/>
    </xf>
    <xf borderId="2" fillId="18" fontId="18" numFmtId="4" xfId="0" applyAlignment="1" applyBorder="1" applyFont="1" applyNumberFormat="1">
      <alignment horizontal="center" shrinkToFit="0" vertical="bottom" wrapText="1"/>
    </xf>
    <xf borderId="2" fillId="19" fontId="18" numFmtId="4" xfId="0" applyAlignment="1" applyBorder="1" applyFont="1" applyNumberFormat="1">
      <alignment horizontal="center" shrinkToFit="0" vertical="bottom" wrapText="1"/>
    </xf>
    <xf borderId="1" fillId="2" fontId="21" numFmtId="166" xfId="0" applyAlignment="1" applyBorder="1" applyFont="1" applyNumberFormat="1">
      <alignment horizontal="center" shrinkToFit="0" textRotation="0" vertical="bottom" wrapText="1"/>
    </xf>
    <xf borderId="1" fillId="2" fontId="21" numFmtId="0" xfId="0" applyAlignment="1" applyBorder="1" applyFont="1">
      <alignment horizontal="center" shrinkToFit="0" vertical="bottom" wrapText="1"/>
    </xf>
    <xf borderId="1" fillId="2" fontId="21" numFmtId="49" xfId="0" applyAlignment="1" applyBorder="1" applyFont="1" applyNumberFormat="1">
      <alignment horizontal="center" shrinkToFit="0" vertical="bottom" wrapText="1"/>
    </xf>
    <xf borderId="1" fillId="2" fontId="21" numFmtId="0" xfId="0" applyAlignment="1" applyBorder="1" applyFont="1">
      <alignment horizontal="center" readingOrder="0" shrinkToFit="0" vertical="bottom" wrapText="1"/>
    </xf>
    <xf borderId="1" fillId="21" fontId="18" numFmtId="0" xfId="0" applyAlignment="1" applyBorder="1" applyFont="1">
      <alignment horizontal="center" shrinkToFit="0" vertical="bottom" wrapText="1"/>
    </xf>
    <xf borderId="1" fillId="21" fontId="21" numFmtId="0" xfId="0" applyAlignment="1" applyBorder="1" applyFont="1">
      <alignment horizontal="center" shrinkToFit="0" vertical="bottom" wrapText="1"/>
    </xf>
    <xf borderId="1" fillId="2" fontId="22" numFmtId="0" xfId="0" applyAlignment="1" applyBorder="1" applyFont="1">
      <alignment horizontal="center" shrinkToFit="0" vertical="bottom" wrapText="1"/>
    </xf>
    <xf borderId="1" fillId="22" fontId="18" numFmtId="4" xfId="0" applyAlignment="1" applyBorder="1" applyFont="1" applyNumberFormat="1">
      <alignment horizontal="center" shrinkToFit="0" vertical="bottom" wrapText="1"/>
    </xf>
    <xf borderId="1" fillId="22" fontId="18" numFmtId="0" xfId="0" applyAlignment="1" applyBorder="1" applyFont="1">
      <alignment horizontal="center" shrinkToFit="0" vertical="bottom" wrapText="1"/>
    </xf>
    <xf borderId="2" fillId="0" fontId="20" numFmtId="167" xfId="0" applyAlignment="1" applyBorder="1" applyFont="1" applyNumberFormat="1">
      <alignment horizontal="center" shrinkToFit="0" vertical="bottom" wrapText="1"/>
    </xf>
    <xf borderId="2" fillId="0" fontId="20" numFmtId="0" xfId="0" applyAlignment="1" applyBorder="1" applyFont="1">
      <alignment horizontal="center" shrinkToFit="0" vertical="bottom" wrapText="1"/>
    </xf>
    <xf borderId="2" fillId="3" fontId="20" numFmtId="0" xfId="0" applyAlignment="1" applyBorder="1" applyFont="1">
      <alignment horizontal="center" shrinkToFit="0" vertical="bottom" wrapText="1"/>
    </xf>
    <xf borderId="2" fillId="3" fontId="22" numFmtId="4" xfId="0" applyAlignment="1" applyBorder="1" applyFont="1" applyNumberFormat="1">
      <alignment horizontal="center" shrinkToFit="0" vertical="bottom" wrapText="1"/>
    </xf>
    <xf borderId="2" fillId="13" fontId="22" numFmtId="4" xfId="0" applyAlignment="1" applyBorder="1" applyFont="1" applyNumberFormat="1">
      <alignment horizontal="center" shrinkToFit="0" vertical="bottom" wrapText="1"/>
    </xf>
    <xf borderId="2" fillId="0" fontId="20" numFmtId="0" xfId="0" applyAlignment="1" applyBorder="1" applyFont="1">
      <alignment horizontal="center" vertical="bottom"/>
    </xf>
    <xf borderId="2" fillId="17" fontId="6" numFmtId="0" xfId="0" applyAlignment="1" applyBorder="1" applyFont="1">
      <alignment vertical="bottom"/>
    </xf>
    <xf borderId="2" fillId="17" fontId="20" numFmtId="0" xfId="0" applyAlignment="1" applyBorder="1" applyFont="1">
      <alignment horizontal="center" shrinkToFit="0" vertical="bottom" wrapText="1"/>
    </xf>
    <xf borderId="2" fillId="17" fontId="22" numFmtId="4" xfId="0" applyAlignment="1" applyBorder="1" applyFont="1" applyNumberFormat="1">
      <alignment horizontal="center" shrinkToFit="0" vertical="bottom" wrapText="1"/>
    </xf>
    <xf borderId="7" fillId="0" fontId="20" numFmtId="167" xfId="0" applyAlignment="1" applyBorder="1" applyFont="1" applyNumberFormat="1">
      <alignment horizontal="center" shrinkToFit="0" vertical="bottom" wrapText="1"/>
    </xf>
    <xf borderId="7" fillId="0" fontId="20" numFmtId="0" xfId="0" applyAlignment="1" applyBorder="1" applyFont="1">
      <alignment horizontal="center" shrinkToFit="0" vertical="bottom" wrapText="1"/>
    </xf>
    <xf borderId="7" fillId="17" fontId="20" numFmtId="0" xfId="0" applyAlignment="1" applyBorder="1" applyFont="1">
      <alignment horizontal="center" vertical="bottom"/>
    </xf>
    <xf borderId="7" fillId="3" fontId="20" numFmtId="0" xfId="0" applyAlignment="1" applyBorder="1" applyFont="1">
      <alignment horizontal="center" shrinkToFit="0" vertical="bottom" wrapText="1"/>
    </xf>
    <xf borderId="7" fillId="17" fontId="22" numFmtId="4" xfId="0" applyAlignment="1" applyBorder="1" applyFont="1" applyNumberFormat="1">
      <alignment horizontal="center" shrinkToFit="0" vertical="bottom" wrapText="1"/>
    </xf>
    <xf borderId="7" fillId="13" fontId="22" numFmtId="4" xfId="0" applyAlignment="1" applyBorder="1" applyFont="1" applyNumberFormat="1">
      <alignment horizontal="center" shrinkToFit="0" vertical="bottom" wrapText="1"/>
    </xf>
    <xf borderId="7" fillId="17" fontId="6" numFmtId="0" xfId="0" applyAlignment="1" applyBorder="1" applyFont="1">
      <alignment vertical="bottom"/>
    </xf>
    <xf borderId="7" fillId="0" fontId="20" numFmtId="0" xfId="0" applyAlignment="1" applyBorder="1" applyFont="1">
      <alignment horizontal="center" vertical="bottom"/>
    </xf>
    <xf borderId="7" fillId="0" fontId="6" numFmtId="0" xfId="0" applyAlignment="1" applyBorder="1" applyFont="1">
      <alignment vertical="bottom"/>
    </xf>
    <xf borderId="2" fillId="17" fontId="20" numFmtId="0" xfId="0" applyAlignment="1" applyBorder="1" applyFont="1">
      <alignment horizontal="center" vertical="bottom"/>
    </xf>
    <xf borderId="0" fillId="23" fontId="23" numFmtId="0" xfId="0" applyAlignment="1" applyFill="1" applyFont="1">
      <alignment horizontal="center" readingOrder="0" shrinkToFit="0" vertical="bottom" wrapText="1"/>
    </xf>
    <xf borderId="8" fillId="24" fontId="16" numFmtId="0" xfId="0" applyAlignment="1" applyBorder="1" applyFill="1" applyFont="1">
      <alignment horizontal="center" readingOrder="0" shrinkToFit="0" vertical="bottom" wrapText="1"/>
    </xf>
    <xf borderId="8" fillId="0" fontId="15" numFmtId="0" xfId="0" applyBorder="1" applyFont="1"/>
    <xf borderId="9" fillId="0" fontId="16" numFmtId="0" xfId="0" applyAlignment="1" applyBorder="1" applyFont="1">
      <alignment horizontal="center" shrinkToFit="0" vertical="bottom" wrapText="1"/>
    </xf>
    <xf borderId="10" fillId="0" fontId="16" numFmtId="0" xfId="0" applyAlignment="1" applyBorder="1" applyFont="1">
      <alignment horizontal="center" shrinkToFit="0" vertical="bottom" wrapText="1"/>
    </xf>
    <xf borderId="10" fillId="0" fontId="16" numFmtId="4" xfId="0" applyAlignment="1" applyBorder="1" applyFont="1" applyNumberFormat="1">
      <alignment horizontal="center" shrinkToFit="0" vertical="bottom" wrapText="1"/>
    </xf>
    <xf borderId="10" fillId="0" fontId="16" numFmtId="4" xfId="0" applyAlignment="1" applyBorder="1" applyFont="1" applyNumberFormat="1">
      <alignment horizontal="center" vertical="bottom"/>
    </xf>
    <xf borderId="9" fillId="0" fontId="24" numFmtId="0" xfId="0" applyAlignment="1" applyBorder="1" applyFont="1">
      <alignment horizontal="center" shrinkToFit="0" vertical="bottom" wrapText="1"/>
    </xf>
    <xf borderId="2" fillId="0" fontId="14" numFmtId="0" xfId="0" applyAlignment="1" applyBorder="1" applyFont="1">
      <alignment horizontal="center" readingOrder="0" vertical="bottom"/>
    </xf>
    <xf borderId="2" fillId="0" fontId="14" numFmtId="4" xfId="0" applyAlignment="1" applyBorder="1" applyFont="1" applyNumberFormat="1">
      <alignment horizontal="center" readingOrder="0" vertical="bottom"/>
    </xf>
    <xf borderId="2" fillId="0" fontId="6" numFmtId="4" xfId="0" applyAlignment="1" applyBorder="1" applyFont="1" applyNumberFormat="1">
      <alignment readingOrder="0" vertical="bottom"/>
    </xf>
    <xf borderId="2" fillId="0" fontId="14" numFmtId="4" xfId="0" applyAlignment="1" applyBorder="1" applyFont="1" applyNumberFormat="1">
      <alignment horizontal="center" vertical="bottom"/>
    </xf>
    <xf borderId="2" fillId="0" fontId="24" numFmtId="0" xfId="0" applyAlignment="1" applyBorder="1" applyFont="1">
      <alignment horizontal="center" shrinkToFit="0" vertical="bottom" wrapText="1"/>
    </xf>
    <xf borderId="2" fillId="0" fontId="16" numFmtId="0" xfId="0" applyAlignment="1" applyBorder="1" applyFont="1">
      <alignment horizontal="center" shrinkToFit="0" vertical="bottom" wrapText="1"/>
    </xf>
    <xf borderId="2" fillId="0" fontId="14" numFmtId="0" xfId="0" applyAlignment="1" applyBorder="1" applyFont="1">
      <alignment horizontal="center" vertical="bottom"/>
    </xf>
    <xf borderId="2" fillId="6" fontId="9" numFmtId="4" xfId="0" applyAlignment="1" applyBorder="1" applyFont="1" applyNumberFormat="1">
      <alignment horizontal="center" shrinkToFit="0" vertical="bottom" wrapText="1"/>
    </xf>
    <xf borderId="0" fillId="0" fontId="14" numFmtId="4" xfId="0" applyAlignment="1" applyFont="1" applyNumberFormat="1">
      <alignment horizontal="center" vertical="bottom"/>
    </xf>
    <xf borderId="3" fillId="25" fontId="5" numFmtId="0" xfId="0" applyAlignment="1" applyBorder="1" applyFill="1" applyFont="1">
      <alignment horizontal="center" readingOrder="0" shrinkToFit="0" vertical="bottom" wrapText="1"/>
    </xf>
    <xf borderId="1" fillId="26" fontId="6" numFmtId="4" xfId="0" applyAlignment="1" applyBorder="1" applyFill="1" applyFont="1" applyNumberFormat="1">
      <alignment vertical="bottom"/>
    </xf>
    <xf borderId="1" fillId="26" fontId="9" numFmtId="4" xfId="0" applyAlignment="1" applyBorder="1" applyFont="1" applyNumberFormat="1">
      <alignment horizontal="center" shrinkToFit="0" vertical="bottom" wrapText="1"/>
    </xf>
    <xf borderId="3" fillId="26" fontId="9" numFmtId="4" xfId="0" applyAlignment="1" applyBorder="1" applyFont="1" applyNumberFormat="1">
      <alignment horizontal="center" shrinkToFit="0" vertical="bottom" wrapText="1"/>
    </xf>
    <xf borderId="2" fillId="26" fontId="6" numFmtId="4" xfId="0" applyAlignment="1" applyBorder="1" applyFont="1" applyNumberFormat="1">
      <alignment vertical="bottom"/>
    </xf>
    <xf borderId="9" fillId="0" fontId="15" numFmtId="0" xfId="0" applyBorder="1" applyFont="1"/>
    <xf borderId="2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vertical="bottom"/>
    </xf>
    <xf borderId="1" fillId="0" fontId="9" numFmtId="4" xfId="0" applyAlignment="1" applyBorder="1" applyFont="1" applyNumberFormat="1">
      <alignment horizontal="center" vertical="bottom"/>
    </xf>
    <xf borderId="9" fillId="5" fontId="9" numFmtId="0" xfId="0" applyAlignment="1" applyBorder="1" applyFont="1">
      <alignment horizontal="center" shrinkToFit="0" vertical="bottom" wrapText="1"/>
    </xf>
    <xf borderId="2" fillId="3" fontId="14" numFmtId="4" xfId="0" applyAlignment="1" applyBorder="1" applyFont="1" applyNumberFormat="1">
      <alignment horizontal="center" shrinkToFit="0" vertical="bottom" wrapText="1"/>
    </xf>
    <xf borderId="3" fillId="3" fontId="6" numFmtId="4" xfId="0" applyAlignment="1" applyBorder="1" applyFont="1" applyNumberFormat="1">
      <alignment vertical="bottom"/>
    </xf>
    <xf borderId="5" fillId="0" fontId="6" numFmtId="4" xfId="0" applyAlignment="1" applyBorder="1" applyFont="1" applyNumberFormat="1">
      <alignment vertical="bottom"/>
    </xf>
    <xf borderId="5" fillId="3" fontId="6" numFmtId="4" xfId="0" applyAlignment="1" applyBorder="1" applyFont="1" applyNumberFormat="1">
      <alignment vertical="bottom"/>
    </xf>
    <xf borderId="2" fillId="3" fontId="9" numFmtId="4" xfId="0" applyAlignment="1" applyBorder="1" applyFont="1" applyNumberFormat="1">
      <alignment horizontal="center" shrinkToFit="0" vertical="bottom" wrapText="1"/>
    </xf>
    <xf borderId="2" fillId="5" fontId="9" numFmtId="0" xfId="0" applyAlignment="1" applyBorder="1" applyFont="1">
      <alignment horizontal="center" shrinkToFit="0" vertical="bottom" wrapText="1"/>
    </xf>
    <xf borderId="2" fillId="3" fontId="25" numFmtId="4" xfId="0" applyAlignment="1" applyBorder="1" applyFont="1" applyNumberFormat="1">
      <alignment horizontal="center" vertical="bottom"/>
    </xf>
    <xf borderId="2" fillId="3" fontId="25" numFmtId="0" xfId="0" applyAlignment="1" applyBorder="1" applyFont="1">
      <alignment horizontal="center" vertical="bottom"/>
    </xf>
    <xf borderId="2" fillId="0" fontId="13" numFmtId="0" xfId="0" applyBorder="1" applyFont="1"/>
    <xf borderId="1" fillId="3" fontId="9" numFmtId="4" xfId="0" applyAlignment="1" applyBorder="1" applyFont="1" applyNumberFormat="1">
      <alignment horizontal="center" shrinkToFit="0" vertical="bottom" wrapText="1"/>
    </xf>
    <xf borderId="9" fillId="2" fontId="9" numFmtId="0" xfId="0" applyAlignment="1" applyBorder="1" applyFont="1">
      <alignment horizontal="center" readingOrder="0" shrinkToFit="0" vertical="bottom" wrapText="1"/>
    </xf>
    <xf borderId="2" fillId="0" fontId="14" numFmtId="4" xfId="0" applyAlignment="1" applyBorder="1" applyFont="1" applyNumberFormat="1">
      <alignment horizontal="center" shrinkToFit="0" vertical="bottom" wrapText="1"/>
    </xf>
    <xf borderId="3" fillId="0" fontId="6" numFmtId="4" xfId="0" applyAlignment="1" applyBorder="1" applyFont="1" applyNumberFormat="1">
      <alignment vertical="bottom"/>
    </xf>
    <xf borderId="2" fillId="27" fontId="9" numFmtId="4" xfId="0" applyAlignment="1" applyBorder="1" applyFill="1" applyFont="1" applyNumberFormat="1">
      <alignment horizontal="center" vertical="bottom"/>
    </xf>
    <xf borderId="0" fillId="28" fontId="9" numFmtId="4" xfId="0" applyAlignment="1" applyFill="1" applyFont="1" applyNumberFormat="1">
      <alignment horizontal="center" vertical="bottom"/>
    </xf>
    <xf borderId="0" fillId="29" fontId="9" numFmtId="4" xfId="0" applyAlignment="1" applyFill="1" applyFont="1" applyNumberFormat="1">
      <alignment horizontal="center" vertical="bottom"/>
    </xf>
    <xf borderId="0" fillId="30" fontId="9" numFmtId="4" xfId="0" applyAlignment="1" applyFill="1" applyFont="1" applyNumberFormat="1">
      <alignment horizontal="center" vertical="bottom"/>
    </xf>
    <xf borderId="0" fillId="31" fontId="9" numFmtId="0" xfId="0" applyAlignment="1" applyFill="1" applyFont="1">
      <alignment horizontal="center" vertical="bottom"/>
    </xf>
    <xf borderId="0" fillId="27" fontId="9" numFmtId="4" xfId="0" applyAlignment="1" applyFont="1" applyNumberFormat="1">
      <alignment horizontal="center" vertical="bottom"/>
    </xf>
    <xf borderId="0" fillId="28" fontId="14" numFmtId="4" xfId="0" applyAlignment="1" applyFont="1" applyNumberFormat="1">
      <alignment horizontal="center" vertical="bottom"/>
    </xf>
    <xf borderId="0" fillId="29" fontId="14" numFmtId="4" xfId="0" applyAlignment="1" applyFont="1" applyNumberFormat="1">
      <alignment horizontal="center" vertical="bottom"/>
    </xf>
    <xf borderId="0" fillId="30" fontId="14" numFmtId="4" xfId="0" applyAlignment="1" applyFont="1" applyNumberFormat="1">
      <alignment horizontal="center" vertical="bottom"/>
    </xf>
    <xf borderId="0" fillId="31" fontId="14" numFmtId="4" xfId="0" applyAlignment="1" applyFont="1" applyNumberFormat="1">
      <alignment horizontal="center" vertical="bottom"/>
    </xf>
    <xf borderId="0" fillId="16" fontId="14" numFmtId="4" xfId="0" applyAlignment="1" applyFont="1" applyNumberFormat="1">
      <alignment horizontal="center" vertical="bottom"/>
    </xf>
    <xf borderId="2" fillId="2" fontId="9" numFmtId="0" xfId="0" applyAlignment="1" applyBorder="1" applyFont="1">
      <alignment horizontal="center" vertical="bottom"/>
    </xf>
    <xf borderId="0" fillId="9" fontId="9" numFmtId="4" xfId="0" applyAlignment="1" applyFont="1" applyNumberFormat="1">
      <alignment horizontal="center" vertical="bottom"/>
    </xf>
    <xf borderId="11" fillId="27" fontId="26" numFmtId="0" xfId="0" applyAlignment="1" applyBorder="1" applyFont="1">
      <alignment horizontal="center" shrinkToFit="0" vertical="bottom" wrapText="1"/>
    </xf>
    <xf borderId="12" fillId="27" fontId="26" numFmtId="0" xfId="0" applyAlignment="1" applyBorder="1" applyFont="1">
      <alignment horizontal="center" shrinkToFit="0" vertical="bottom" wrapText="1"/>
    </xf>
    <xf borderId="13" fillId="27" fontId="26" numFmtId="0" xfId="0" applyAlignment="1" applyBorder="1" applyFont="1">
      <alignment horizontal="center" shrinkToFit="0" vertical="bottom" wrapText="1"/>
    </xf>
    <xf borderId="14" fillId="27" fontId="26" numFmtId="0" xfId="0" applyAlignment="1" applyBorder="1" applyFont="1">
      <alignment horizontal="center" shrinkToFit="0" vertical="bottom" wrapText="1"/>
    </xf>
    <xf borderId="0" fillId="25" fontId="26" numFmtId="0" xfId="0" applyAlignment="1" applyFont="1">
      <alignment horizontal="center" shrinkToFit="0" vertical="bottom" wrapText="1"/>
    </xf>
    <xf borderId="0" fillId="0" fontId="25" numFmtId="168" xfId="0" applyAlignment="1" applyFont="1" applyNumberFormat="1">
      <alignment horizontal="center" readingOrder="0" vertical="bottom"/>
    </xf>
    <xf borderId="0" fillId="0" fontId="25" numFmtId="0" xfId="0" applyAlignment="1" applyFont="1">
      <alignment horizontal="center" vertical="bottom"/>
    </xf>
    <xf borderId="0" fillId="0" fontId="25" numFmtId="0" xfId="0" applyAlignment="1" applyFont="1">
      <alignment horizontal="center" readingOrder="0" shrinkToFit="0" vertical="bottom" wrapText="1"/>
    </xf>
    <xf borderId="0" fillId="0" fontId="25" numFmtId="0" xfId="0" applyAlignment="1" applyFont="1">
      <alignment horizontal="center" readingOrder="0" vertical="bottom"/>
    </xf>
    <xf borderId="0" fillId="0" fontId="24" numFmtId="0" xfId="0" applyAlignment="1" applyFont="1">
      <alignment horizontal="center" vertical="bottom"/>
    </xf>
    <xf borderId="0" fillId="3" fontId="27" numFmtId="0" xfId="0" applyAlignment="1" applyFont="1">
      <alignment horizontal="center" vertical="bottom"/>
    </xf>
    <xf borderId="11" fillId="27" fontId="28" numFmtId="0" xfId="0" applyAlignment="1" applyBorder="1" applyFont="1">
      <alignment horizontal="center" shrinkToFit="0" vertical="bottom" wrapText="1"/>
    </xf>
    <xf borderId="12" fillId="27" fontId="28" numFmtId="0" xfId="0" applyAlignment="1" applyBorder="1" applyFont="1">
      <alignment horizontal="center" shrinkToFit="0" vertical="bottom" wrapText="1"/>
    </xf>
    <xf borderId="13" fillId="27" fontId="28" numFmtId="0" xfId="0" applyAlignment="1" applyBorder="1" applyFont="1">
      <alignment horizontal="center" shrinkToFit="0" vertical="bottom" wrapText="1"/>
    </xf>
    <xf borderId="13" fillId="27" fontId="28" numFmtId="3" xfId="0" applyAlignment="1" applyBorder="1" applyFont="1" applyNumberFormat="1">
      <alignment horizontal="center" shrinkToFit="0" vertical="bottom" wrapText="1"/>
    </xf>
    <xf borderId="14" fillId="27" fontId="28" numFmtId="0" xfId="0" applyAlignment="1" applyBorder="1" applyFont="1">
      <alignment horizontal="center" shrinkToFit="0" vertical="bottom" wrapText="1"/>
    </xf>
    <xf borderId="0" fillId="25" fontId="28" numFmtId="3" xfId="0" applyAlignment="1" applyFont="1" applyNumberFormat="1">
      <alignment horizontal="center" shrinkToFit="0" vertical="bottom" wrapText="1"/>
    </xf>
    <xf borderId="0" fillId="2" fontId="29" numFmtId="3" xfId="0" applyAlignment="1" applyFont="1" applyNumberFormat="1">
      <alignment horizontal="center" vertical="bottom"/>
    </xf>
    <xf borderId="0" fillId="0" fontId="13" numFmtId="0" xfId="0" applyAlignment="1" applyFont="1">
      <alignment horizontal="center" readingOrder="0" vertical="bottom"/>
    </xf>
    <xf borderId="0" fillId="0" fontId="30" numFmtId="0" xfId="0" applyAlignment="1" applyFont="1">
      <alignment horizontal="center" readingOrder="0" vertical="bottom"/>
    </xf>
    <xf borderId="0" fillId="0" fontId="13" numFmtId="0" xfId="0" applyAlignment="1" applyFont="1">
      <alignment horizontal="center" readingOrder="0" shrinkToFit="0" vertical="bottom" wrapText="1"/>
    </xf>
    <xf borderId="0" fillId="0" fontId="13" numFmtId="3" xfId="0" applyAlignment="1" applyFont="1" applyNumberFormat="1">
      <alignment horizontal="center" readingOrder="0" vertical="bottom"/>
    </xf>
    <xf borderId="0" fillId="0" fontId="31" numFmtId="0" xfId="0" applyAlignment="1" applyFont="1">
      <alignment horizontal="center" vertical="bottom"/>
    </xf>
    <xf borderId="0" fillId="0" fontId="6" numFmtId="0" xfId="0" applyFont="1"/>
    <xf borderId="0" fillId="0" fontId="13" numFmtId="0" xfId="0" applyAlignment="1" applyFont="1">
      <alignment horizontal="center" readingOrder="0"/>
    </xf>
    <xf borderId="0" fillId="0" fontId="13" numFmtId="3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4" t="s">
        <v>10</v>
      </c>
      <c r="L1" s="9" t="s">
        <v>11</v>
      </c>
      <c r="M1" s="1" t="s">
        <v>12</v>
      </c>
      <c r="N1" s="1" t="s">
        <v>13</v>
      </c>
      <c r="O1" s="10" t="s">
        <v>14</v>
      </c>
    </row>
    <row r="2">
      <c r="A2" s="11"/>
      <c r="B2" s="11"/>
      <c r="C2" s="11"/>
      <c r="D2" s="12"/>
      <c r="E2" s="13">
        <f>SUM(E3:E92)</f>
        <v>4183.2</v>
      </c>
      <c r="F2" s="14"/>
      <c r="G2" s="15"/>
      <c r="H2" s="16">
        <f>SUM(H3:H92)</f>
        <v>4197.2</v>
      </c>
      <c r="I2" s="17"/>
      <c r="J2" s="17"/>
      <c r="K2" s="17"/>
      <c r="L2" s="12"/>
      <c r="M2" s="18">
        <f t="shared" ref="M2:N2" si="1">SUM(M3:M1000)</f>
        <v>2928.24</v>
      </c>
      <c r="N2" s="19">
        <f t="shared" si="1"/>
        <v>1230.24</v>
      </c>
      <c r="O2" s="17"/>
    </row>
    <row r="3">
      <c r="A3" s="20" t="s">
        <v>15</v>
      </c>
      <c r="B3" s="21" t="s">
        <v>16</v>
      </c>
      <c r="C3" s="22" t="s">
        <v>17</v>
      </c>
      <c r="D3" s="23" t="s">
        <v>18</v>
      </c>
      <c r="E3" s="13">
        <v>538.2</v>
      </c>
      <c r="F3" s="24">
        <v>598.0</v>
      </c>
      <c r="G3" s="25">
        <f t="shared" ref="G3:G5" si="2">F3-E3</f>
        <v>59.8</v>
      </c>
      <c r="H3" s="16">
        <v>538.2</v>
      </c>
      <c r="I3" s="26" t="s">
        <v>19</v>
      </c>
      <c r="J3" s="27">
        <v>4.47895651343E11</v>
      </c>
      <c r="K3" s="26" t="s">
        <v>20</v>
      </c>
      <c r="L3" s="28" t="s">
        <v>21</v>
      </c>
      <c r="M3" s="29">
        <f t="shared" ref="M3:M5" si="3">E3-E3 *30%</f>
        <v>376.74</v>
      </c>
      <c r="N3" s="29">
        <f t="shared" ref="N3:N4" si="4">E3-E3 *30%</f>
        <v>376.74</v>
      </c>
      <c r="O3" s="30" t="s">
        <v>22</v>
      </c>
    </row>
    <row r="4">
      <c r="A4" s="20" t="s">
        <v>23</v>
      </c>
      <c r="B4" s="21" t="s">
        <v>24</v>
      </c>
      <c r="C4" s="22" t="s">
        <v>25</v>
      </c>
      <c r="D4" s="23" t="s">
        <v>18</v>
      </c>
      <c r="E4" s="13">
        <v>1947.0</v>
      </c>
      <c r="F4" s="24">
        <v>2045.0</v>
      </c>
      <c r="G4" s="25">
        <f t="shared" si="2"/>
        <v>98</v>
      </c>
      <c r="H4" s="16">
        <v>1947.0</v>
      </c>
      <c r="I4" s="26" t="s">
        <v>26</v>
      </c>
      <c r="J4" s="27">
        <v>9.71507396302E11</v>
      </c>
      <c r="K4" s="26" t="s">
        <v>27</v>
      </c>
      <c r="L4" s="28" t="s">
        <v>28</v>
      </c>
      <c r="M4" s="29">
        <f t="shared" si="3"/>
        <v>1362.9</v>
      </c>
      <c r="N4" s="29">
        <f t="shared" si="4"/>
        <v>1362.9</v>
      </c>
      <c r="O4" s="31" t="s">
        <v>29</v>
      </c>
    </row>
    <row r="5">
      <c r="A5" s="32" t="s">
        <v>30</v>
      </c>
      <c r="B5" s="21" t="s">
        <v>31</v>
      </c>
      <c r="C5" s="22" t="s">
        <v>32</v>
      </c>
      <c r="D5" s="23" t="s">
        <v>33</v>
      </c>
      <c r="E5" s="13">
        <v>1698.0</v>
      </c>
      <c r="F5" s="24">
        <v>1698.0</v>
      </c>
      <c r="G5" s="25">
        <f t="shared" si="2"/>
        <v>0</v>
      </c>
      <c r="H5" s="16">
        <v>1712.0</v>
      </c>
      <c r="I5" s="27" t="s">
        <v>34</v>
      </c>
      <c r="J5" s="27">
        <v>9.71585652666E11</v>
      </c>
      <c r="K5" s="26" t="s">
        <v>35</v>
      </c>
      <c r="L5" s="28" t="s">
        <v>36</v>
      </c>
      <c r="M5" s="29">
        <f t="shared" si="3"/>
        <v>1188.6</v>
      </c>
      <c r="N5" s="29">
        <f>E5-E5 *130%</f>
        <v>-509.4</v>
      </c>
      <c r="O5" s="30" t="s">
        <v>37</v>
      </c>
    </row>
    <row r="6">
      <c r="A6" s="33" t="s">
        <v>38</v>
      </c>
      <c r="B6" s="33" t="s">
        <v>39</v>
      </c>
      <c r="G6" s="33">
        <v>60.0</v>
      </c>
    </row>
    <row r="7">
      <c r="A7" s="33" t="s">
        <v>40</v>
      </c>
    </row>
  </sheetData>
  <dataValidations>
    <dataValidation type="list" allowBlank="1" showErrorMessage="1" sqref="D3:D5">
      <formula1>"JUSTLIFE,CASH,POS"</formula1>
    </dataValidation>
    <dataValidation type="list" allowBlank="1" showErrorMessage="1" sqref="L3:L5">
      <formula1>"Benita,Shireen,Afsana,Bhavna,Preeti,Kamla,Neetu,Mamta,Jaliska,Sowmiya,SUMI"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/>
      <c r="B1" s="34"/>
      <c r="C1" s="34"/>
      <c r="D1" s="35"/>
      <c r="E1" s="35"/>
      <c r="F1" s="35"/>
      <c r="G1" s="36">
        <f t="shared" ref="G1:H1" si="1">sum(G3:G1000)</f>
        <v>4794.2</v>
      </c>
      <c r="H1" s="37">
        <f t="shared" si="1"/>
        <v>239.71</v>
      </c>
      <c r="I1" s="38">
        <f>sum(I3:K1000)</f>
        <v>5033.46</v>
      </c>
      <c r="J1" s="39"/>
      <c r="K1" s="40"/>
      <c r="L1" s="35"/>
      <c r="M1" s="35"/>
      <c r="N1" s="35"/>
      <c r="O1" s="35"/>
      <c r="P1" s="41"/>
      <c r="Q1" s="40"/>
    </row>
    <row r="2">
      <c r="A2" s="42" t="s">
        <v>41</v>
      </c>
      <c r="B2" s="42" t="s">
        <v>42</v>
      </c>
      <c r="C2" s="42" t="s">
        <v>43</v>
      </c>
      <c r="D2" s="43" t="s">
        <v>44</v>
      </c>
      <c r="E2" s="43" t="s">
        <v>10</v>
      </c>
      <c r="F2" s="6" t="s">
        <v>7</v>
      </c>
      <c r="G2" s="44" t="s">
        <v>45</v>
      </c>
      <c r="H2" s="45" t="s">
        <v>46</v>
      </c>
      <c r="I2" s="46" t="s">
        <v>33</v>
      </c>
      <c r="J2" s="46" t="s">
        <v>47</v>
      </c>
      <c r="K2" s="46" t="s">
        <v>48</v>
      </c>
      <c r="L2" s="43" t="s">
        <v>49</v>
      </c>
      <c r="M2" s="43" t="s">
        <v>50</v>
      </c>
      <c r="N2" s="47" t="s">
        <v>11</v>
      </c>
      <c r="O2" s="43" t="s">
        <v>14</v>
      </c>
      <c r="P2" s="48" t="s">
        <v>51</v>
      </c>
      <c r="Q2" s="40"/>
    </row>
    <row r="3">
      <c r="A3" s="20" t="s">
        <v>15</v>
      </c>
      <c r="B3" s="49" t="s">
        <v>52</v>
      </c>
      <c r="C3" s="50" t="b">
        <v>0</v>
      </c>
      <c r="D3" s="51" t="s">
        <v>53</v>
      </c>
      <c r="E3" s="51" t="s">
        <v>54</v>
      </c>
      <c r="F3" s="51" t="s">
        <v>55</v>
      </c>
      <c r="G3" s="51">
        <v>1998.0</v>
      </c>
      <c r="H3" s="52">
        <f t="shared" ref="H3:H5" si="2">G3*5%</f>
        <v>99.9</v>
      </c>
      <c r="I3" s="53"/>
      <c r="J3" s="52">
        <v>2097.3</v>
      </c>
      <c r="K3" s="53"/>
      <c r="L3" s="12"/>
      <c r="M3" s="12"/>
      <c r="N3" s="54" t="s">
        <v>36</v>
      </c>
      <c r="O3" s="55" t="s">
        <v>56</v>
      </c>
      <c r="P3" s="51" t="s">
        <v>57</v>
      </c>
      <c r="Q3" s="12"/>
    </row>
    <row r="4">
      <c r="A4" s="20" t="s">
        <v>15</v>
      </c>
      <c r="B4" s="49" t="s">
        <v>58</v>
      </c>
      <c r="C4" s="56" t="b">
        <v>1</v>
      </c>
      <c r="D4" s="51">
        <v>5.22425826E8</v>
      </c>
      <c r="E4" s="51" t="s">
        <v>59</v>
      </c>
      <c r="F4" s="51" t="s">
        <v>60</v>
      </c>
      <c r="G4" s="52">
        <v>1599.2</v>
      </c>
      <c r="H4" s="52">
        <f t="shared" si="2"/>
        <v>79.96</v>
      </c>
      <c r="I4" s="53"/>
      <c r="J4" s="53"/>
      <c r="K4" s="52">
        <v>1679.16</v>
      </c>
      <c r="L4" s="12"/>
      <c r="M4" s="12"/>
      <c r="N4" s="54" t="s">
        <v>36</v>
      </c>
      <c r="O4" s="57"/>
      <c r="P4" s="51" t="s">
        <v>61</v>
      </c>
      <c r="Q4" s="12"/>
    </row>
    <row r="5">
      <c r="A5" s="20" t="s">
        <v>62</v>
      </c>
      <c r="B5" s="58" t="s">
        <v>63</v>
      </c>
      <c r="C5" s="50" t="b">
        <v>0</v>
      </c>
      <c r="D5" s="51">
        <v>9.71508557342E11</v>
      </c>
      <c r="E5" s="51" t="s">
        <v>64</v>
      </c>
      <c r="F5" s="51" t="s">
        <v>65</v>
      </c>
      <c r="G5" s="52">
        <v>1197.0</v>
      </c>
      <c r="H5" s="52">
        <f t="shared" si="2"/>
        <v>59.85</v>
      </c>
      <c r="I5" s="52">
        <v>1257.0</v>
      </c>
      <c r="J5" s="53"/>
      <c r="K5" s="53"/>
      <c r="L5" s="12"/>
      <c r="M5" s="59">
        <v>998.0</v>
      </c>
      <c r="N5" s="54" t="s">
        <v>28</v>
      </c>
      <c r="O5" s="55" t="s">
        <v>66</v>
      </c>
      <c r="P5" s="51" t="s">
        <v>67</v>
      </c>
      <c r="Q5" s="51" t="s">
        <v>68</v>
      </c>
    </row>
  </sheetData>
  <mergeCells count="3">
    <mergeCell ref="I1:K1"/>
    <mergeCell ref="P1:Q1"/>
    <mergeCell ref="P2:Q2"/>
  </mergeCells>
  <dataValidations>
    <dataValidation type="list" allowBlank="1" showErrorMessage="1" sqref="N3:N5">
      <formula1>"Jaliska,Benita,Shireen,Afsana,Shazia,Preeti,Kamla,Neetu,Mamta,Sowmiya,Suni,Bhawna"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0"/>
      <c r="B1" s="60"/>
      <c r="C1" s="60"/>
      <c r="D1" s="61"/>
      <c r="E1" s="61"/>
      <c r="F1" s="61"/>
      <c r="G1" s="62">
        <f t="shared" ref="G1:I1" si="1">sum(G3:G999)</f>
        <v>3898</v>
      </c>
      <c r="H1" s="62">
        <f t="shared" si="1"/>
        <v>0</v>
      </c>
      <c r="I1" s="63">
        <f t="shared" si="1"/>
        <v>194.9</v>
      </c>
      <c r="J1" s="64">
        <f>sum(J3:L999)</f>
        <v>4092.9</v>
      </c>
      <c r="M1" s="61"/>
      <c r="N1" s="65"/>
    </row>
    <row r="2">
      <c r="A2" s="2" t="s">
        <v>41</v>
      </c>
      <c r="B2" s="2" t="s">
        <v>42</v>
      </c>
      <c r="C2" s="2" t="s">
        <v>43</v>
      </c>
      <c r="D2" s="8" t="s">
        <v>44</v>
      </c>
      <c r="E2" s="8" t="s">
        <v>10</v>
      </c>
      <c r="F2" s="66" t="s">
        <v>8</v>
      </c>
      <c r="G2" s="6" t="s">
        <v>7</v>
      </c>
      <c r="H2" s="62" t="s">
        <v>69</v>
      </c>
      <c r="I2" s="63" t="s">
        <v>46</v>
      </c>
      <c r="J2" s="1" t="s">
        <v>33</v>
      </c>
      <c r="K2" s="1" t="s">
        <v>47</v>
      </c>
      <c r="L2" s="1" t="s">
        <v>48</v>
      </c>
      <c r="M2" s="67" t="s">
        <v>70</v>
      </c>
      <c r="N2" s="68" t="s">
        <v>51</v>
      </c>
    </row>
    <row r="3">
      <c r="A3" s="51" t="s">
        <v>23</v>
      </c>
      <c r="B3" s="51" t="s">
        <v>71</v>
      </c>
      <c r="C3" s="69" t="b">
        <v>0</v>
      </c>
      <c r="D3" s="20">
        <v>9.71523299022E11</v>
      </c>
      <c r="E3" s="20" t="s">
        <v>72</v>
      </c>
      <c r="F3" s="51" t="s">
        <v>73</v>
      </c>
      <c r="G3" s="49">
        <v>1999.0</v>
      </c>
      <c r="H3" s="70">
        <v>0.0</v>
      </c>
      <c r="I3" s="70">
        <f t="shared" ref="I3:I4" si="2">sum(G3:H3)*5%</f>
        <v>99.95</v>
      </c>
      <c r="J3" s="12"/>
      <c r="K3" s="12"/>
      <c r="L3" s="71">
        <f t="shared" ref="L3:L4" si="3">sum(G3:I3)</f>
        <v>2098.95</v>
      </c>
      <c r="M3" s="51" t="s">
        <v>74</v>
      </c>
      <c r="N3" s="65"/>
    </row>
    <row r="4">
      <c r="A4" s="51" t="s">
        <v>30</v>
      </c>
      <c r="B4" s="51" t="s">
        <v>75</v>
      </c>
      <c r="C4" s="72" t="b">
        <v>1</v>
      </c>
      <c r="D4" s="20">
        <v>9.71554764676E11</v>
      </c>
      <c r="E4" s="20" t="s">
        <v>20</v>
      </c>
      <c r="F4" s="51" t="s">
        <v>76</v>
      </c>
      <c r="G4" s="49">
        <v>1899.0</v>
      </c>
      <c r="H4" s="70">
        <v>0.0</v>
      </c>
      <c r="I4" s="70">
        <f t="shared" si="2"/>
        <v>94.95</v>
      </c>
      <c r="J4" s="12"/>
      <c r="K4" s="12"/>
      <c r="L4" s="71">
        <f t="shared" si="3"/>
        <v>1993.95</v>
      </c>
      <c r="M4" s="51" t="s">
        <v>77</v>
      </c>
      <c r="N4" s="65"/>
    </row>
  </sheetData>
  <mergeCells count="1">
    <mergeCell ref="J1:L1"/>
  </mergeCells>
  <dataValidations>
    <dataValidation type="list" allowBlank="1" showErrorMessage="1" sqref="M3:M4">
      <formula1>"Ms. Riti,Utkash,Dinel,michael,Amelia,Ann"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0"/>
  </cols>
  <sheetData>
    <row r="1">
      <c r="A1" s="73"/>
      <c r="B1" s="74"/>
      <c r="C1" s="75"/>
      <c r="D1" s="74"/>
      <c r="E1" s="74"/>
      <c r="F1" s="74"/>
      <c r="G1" s="75"/>
      <c r="H1" s="75"/>
      <c r="I1" s="76"/>
      <c r="J1" s="76"/>
      <c r="K1" s="76"/>
      <c r="L1" s="77"/>
      <c r="M1" s="77"/>
      <c r="N1" s="77"/>
      <c r="O1" s="77"/>
      <c r="P1" s="78" t="s">
        <v>78</v>
      </c>
      <c r="Q1" s="40"/>
      <c r="R1" s="77"/>
      <c r="S1" s="75"/>
      <c r="T1" s="75"/>
      <c r="U1" s="75"/>
      <c r="V1" s="75"/>
      <c r="W1" s="79"/>
      <c r="X1" s="65"/>
      <c r="Y1" s="65"/>
      <c r="Z1" s="65"/>
      <c r="AA1" s="65"/>
      <c r="AB1" s="65"/>
      <c r="AC1" s="65"/>
      <c r="AD1" s="65"/>
      <c r="AE1" s="65"/>
      <c r="AF1" s="65"/>
    </row>
    <row r="2">
      <c r="A2" s="73"/>
      <c r="B2" s="74"/>
      <c r="C2" s="75"/>
      <c r="D2" s="74"/>
      <c r="E2" s="75"/>
      <c r="F2" s="74"/>
      <c r="G2" s="75"/>
      <c r="H2" s="75"/>
      <c r="I2" s="80">
        <f t="shared" ref="I2:J2" si="1">sum(I4:I1000)</f>
        <v>727.3</v>
      </c>
      <c r="J2" s="81">
        <f t="shared" si="1"/>
        <v>0</v>
      </c>
      <c r="K2" s="80">
        <f>SUM(K4:K658)</f>
        <v>727.3</v>
      </c>
      <c r="L2" s="81">
        <f t="shared" ref="L2:R2" si="2">sum(L4:L1000)</f>
        <v>0</v>
      </c>
      <c r="M2" s="81">
        <f t="shared" si="2"/>
        <v>0</v>
      </c>
      <c r="N2" s="81">
        <f t="shared" si="2"/>
        <v>0</v>
      </c>
      <c r="O2" s="81">
        <f t="shared" si="2"/>
        <v>378</v>
      </c>
      <c r="P2" s="81">
        <f t="shared" si="2"/>
        <v>349.3</v>
      </c>
      <c r="Q2" s="81">
        <f t="shared" si="2"/>
        <v>0</v>
      </c>
      <c r="R2" s="81">
        <f t="shared" si="2"/>
        <v>0</v>
      </c>
      <c r="S2" s="75"/>
      <c r="T2" s="75"/>
      <c r="U2" s="75"/>
      <c r="V2" s="75"/>
      <c r="W2" s="79"/>
      <c r="X2" s="65"/>
      <c r="Y2" s="65"/>
      <c r="Z2" s="65"/>
      <c r="AA2" s="65"/>
      <c r="AB2" s="65"/>
      <c r="AC2" s="65"/>
      <c r="AD2" s="65"/>
      <c r="AE2" s="65"/>
      <c r="AF2" s="65"/>
    </row>
    <row r="3">
      <c r="A3" s="82" t="s">
        <v>79</v>
      </c>
      <c r="B3" s="83" t="s">
        <v>80</v>
      </c>
      <c r="C3" s="84" t="s">
        <v>81</v>
      </c>
      <c r="D3" s="84" t="s">
        <v>82</v>
      </c>
      <c r="E3" s="84" t="s">
        <v>83</v>
      </c>
      <c r="F3" s="84" t="s">
        <v>11</v>
      </c>
      <c r="G3" s="85" t="s">
        <v>84</v>
      </c>
      <c r="H3" s="66" t="s">
        <v>8</v>
      </c>
      <c r="I3" s="86" t="s">
        <v>85</v>
      </c>
      <c r="J3" s="85" t="s">
        <v>46</v>
      </c>
      <c r="K3" s="84" t="s">
        <v>7</v>
      </c>
      <c r="L3" s="84" t="s">
        <v>86</v>
      </c>
      <c r="M3" s="84" t="s">
        <v>47</v>
      </c>
      <c r="N3" s="84" t="s">
        <v>87</v>
      </c>
      <c r="O3" s="84" t="s">
        <v>88</v>
      </c>
      <c r="P3" s="84" t="s">
        <v>89</v>
      </c>
      <c r="Q3" s="84" t="s">
        <v>90</v>
      </c>
      <c r="R3" s="84" t="s">
        <v>91</v>
      </c>
      <c r="S3" s="87" t="s">
        <v>92</v>
      </c>
      <c r="T3" s="88" t="s">
        <v>93</v>
      </c>
      <c r="U3" s="85" t="s">
        <v>51</v>
      </c>
      <c r="V3" s="85" t="s">
        <v>94</v>
      </c>
      <c r="W3" s="89" t="s">
        <v>95</v>
      </c>
      <c r="X3" s="65"/>
      <c r="Y3" s="65"/>
      <c r="Z3" s="65"/>
      <c r="AA3" s="65"/>
      <c r="AB3" s="65"/>
      <c r="AC3" s="65"/>
      <c r="AD3" s="65"/>
      <c r="AE3" s="65"/>
      <c r="AF3" s="65"/>
    </row>
    <row r="4">
      <c r="A4" s="90">
        <v>1.0</v>
      </c>
      <c r="B4" s="91">
        <v>46028.0</v>
      </c>
      <c r="C4" s="92" t="s">
        <v>96</v>
      </c>
      <c r="D4" s="70" t="b">
        <v>0</v>
      </c>
      <c r="E4" s="92" t="s">
        <v>97</v>
      </c>
      <c r="F4" s="92" t="s">
        <v>98</v>
      </c>
      <c r="G4" s="93">
        <v>266.9</v>
      </c>
      <c r="H4" s="93" t="s">
        <v>99</v>
      </c>
      <c r="I4" s="94">
        <f t="shared" ref="I4:I7" si="3">sum(J4:K4)</f>
        <v>0</v>
      </c>
      <c r="J4" s="94">
        <f t="shared" ref="J4:J7" si="4">sum(L4:N4)*5%</f>
        <v>0</v>
      </c>
      <c r="K4" s="94">
        <f t="shared" ref="K4:K7" si="5">L4+M4+N4+P4+O4+R4+(Q4*(1-42%))</f>
        <v>0</v>
      </c>
      <c r="L4" s="95"/>
      <c r="M4" s="95"/>
      <c r="N4" s="95"/>
      <c r="O4" s="95"/>
      <c r="P4" s="95"/>
      <c r="Q4" s="95"/>
      <c r="R4" s="95"/>
      <c r="S4" s="96" t="s">
        <v>100</v>
      </c>
      <c r="T4" s="97">
        <v>46084.0</v>
      </c>
      <c r="U4" s="17"/>
      <c r="V4" s="17"/>
      <c r="W4" s="98"/>
      <c r="X4" s="99"/>
      <c r="Y4" s="99"/>
      <c r="Z4" s="99"/>
      <c r="AA4" s="65"/>
      <c r="AB4" s="65"/>
      <c r="AC4" s="65"/>
      <c r="AD4" s="65"/>
      <c r="AE4" s="65"/>
      <c r="AF4" s="65"/>
    </row>
    <row r="5">
      <c r="A5" s="100">
        <v>2.0</v>
      </c>
      <c r="B5" s="91">
        <v>46028.0</v>
      </c>
      <c r="C5" s="92" t="s">
        <v>101</v>
      </c>
      <c r="D5" s="70" t="b">
        <v>1</v>
      </c>
      <c r="E5" s="92" t="s">
        <v>102</v>
      </c>
      <c r="F5" s="92" t="s">
        <v>103</v>
      </c>
      <c r="G5" s="101">
        <v>349.3</v>
      </c>
      <c r="H5" s="101" t="s">
        <v>104</v>
      </c>
      <c r="I5" s="94">
        <f t="shared" si="3"/>
        <v>349.3</v>
      </c>
      <c r="J5" s="94">
        <f t="shared" si="4"/>
        <v>0</v>
      </c>
      <c r="K5" s="94">
        <f t="shared" si="5"/>
        <v>349.3</v>
      </c>
      <c r="L5" s="102"/>
      <c r="M5" s="102"/>
      <c r="N5" s="102"/>
      <c r="O5" s="102"/>
      <c r="P5" s="96">
        <v>349.3</v>
      </c>
      <c r="Q5" s="95"/>
      <c r="R5" s="95"/>
      <c r="S5" s="103"/>
      <c r="T5" s="104"/>
      <c r="U5" s="17"/>
      <c r="V5" s="17"/>
      <c r="W5" s="98"/>
      <c r="X5" s="99"/>
      <c r="Y5" s="99"/>
      <c r="Z5" s="99"/>
      <c r="AA5" s="65"/>
      <c r="AB5" s="65"/>
      <c r="AC5" s="65"/>
      <c r="AD5" s="65"/>
      <c r="AE5" s="65"/>
      <c r="AF5" s="65"/>
    </row>
    <row r="6">
      <c r="A6" s="90">
        <v>3.0</v>
      </c>
      <c r="B6" s="91">
        <v>46028.0</v>
      </c>
      <c r="C6" s="92" t="s">
        <v>105</v>
      </c>
      <c r="D6" s="70" t="b">
        <v>1</v>
      </c>
      <c r="E6" s="92" t="s">
        <v>106</v>
      </c>
      <c r="F6" s="92" t="s">
        <v>107</v>
      </c>
      <c r="G6" s="101">
        <f>63*2</f>
        <v>126</v>
      </c>
      <c r="H6" s="101" t="s">
        <v>108</v>
      </c>
      <c r="I6" s="94">
        <f t="shared" si="3"/>
        <v>378</v>
      </c>
      <c r="J6" s="94">
        <f t="shared" si="4"/>
        <v>0</v>
      </c>
      <c r="K6" s="94">
        <f t="shared" si="5"/>
        <v>378</v>
      </c>
      <c r="L6" s="102"/>
      <c r="M6" s="102"/>
      <c r="N6" s="102"/>
      <c r="O6" s="101">
        <v>378.0</v>
      </c>
      <c r="P6" s="95"/>
      <c r="Q6" s="95"/>
      <c r="R6" s="95"/>
      <c r="S6" s="103"/>
      <c r="T6" s="105">
        <v>46059.0</v>
      </c>
      <c r="U6" s="106" t="s">
        <v>109</v>
      </c>
      <c r="V6" s="106">
        <v>240.0</v>
      </c>
      <c r="W6" s="107" t="s">
        <v>107</v>
      </c>
      <c r="X6" s="99"/>
      <c r="Y6" s="99"/>
      <c r="Z6" s="99"/>
      <c r="AA6" s="65"/>
      <c r="AB6" s="65"/>
      <c r="AC6" s="65"/>
      <c r="AD6" s="65"/>
      <c r="AE6" s="65"/>
      <c r="AF6" s="65"/>
    </row>
    <row r="7">
      <c r="A7" s="100">
        <v>4.0</v>
      </c>
      <c r="B7" s="108">
        <v>46028.0</v>
      </c>
      <c r="C7" s="51" t="s">
        <v>110</v>
      </c>
      <c r="D7" s="70" t="b">
        <v>0</v>
      </c>
      <c r="E7" s="51" t="s">
        <v>111</v>
      </c>
      <c r="F7" s="51" t="s">
        <v>112</v>
      </c>
      <c r="G7" s="20">
        <v>594.15</v>
      </c>
      <c r="H7" s="20" t="s">
        <v>113</v>
      </c>
      <c r="I7" s="109">
        <f t="shared" si="3"/>
        <v>0</v>
      </c>
      <c r="J7" s="109">
        <f t="shared" si="4"/>
        <v>0</v>
      </c>
      <c r="K7" s="109">
        <f t="shared" si="5"/>
        <v>0</v>
      </c>
      <c r="L7" s="17"/>
      <c r="M7" s="17"/>
      <c r="N7" s="17"/>
      <c r="O7" s="17"/>
      <c r="P7" s="17"/>
      <c r="Q7" s="17"/>
      <c r="R7" s="17"/>
      <c r="S7" s="110" t="s">
        <v>114</v>
      </c>
      <c r="T7" s="111">
        <v>46056.0</v>
      </c>
      <c r="U7" s="17"/>
      <c r="V7" s="17"/>
      <c r="W7" s="98"/>
      <c r="X7" s="99"/>
      <c r="Y7" s="99"/>
      <c r="Z7" s="99"/>
      <c r="AA7" s="65"/>
      <c r="AB7" s="65"/>
      <c r="AC7" s="65"/>
      <c r="AD7" s="65"/>
      <c r="AE7" s="65"/>
      <c r="AF7" s="65"/>
    </row>
  </sheetData>
  <mergeCells count="1">
    <mergeCell ref="P1:Q1"/>
  </mergeCells>
  <dataValidations>
    <dataValidation type="list" allowBlank="1" showErrorMessage="1" sqref="F4:F7 W4:W7">
      <formula1>"Therapist Sangeeta,Therapist Prachi,Nurse Benita,Nurse Neetu,Nurse Afsana,Therapist Fatima,Nurse Shireen ,nurse mamta,nurse jaliska,Therapist Shiva,Nurse Suni,Doctor Haifa,Nurse Sowmiya,Therapist Hanu,Therapist  Fatoom,Nurse anu,Amelia,Utkarsh"</formula1>
    </dataValidation>
    <dataValidation type="list" allowBlank="1" showErrorMessage="1" sqref="E4:E7">
      <formula1>"Beauty Therapy,IV Therapy,Aesthetic,Laser,HOME,Peptides 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2"/>
      <c r="B1" s="113"/>
      <c r="C1" s="114"/>
      <c r="D1" s="114"/>
      <c r="E1" s="114"/>
      <c r="F1" s="112"/>
      <c r="G1" s="114"/>
      <c r="H1" s="114"/>
      <c r="I1" s="115"/>
      <c r="J1" s="115"/>
      <c r="K1" s="116"/>
      <c r="L1" s="115"/>
      <c r="M1" s="115"/>
      <c r="N1" s="115"/>
      <c r="O1" s="115"/>
      <c r="P1" s="78" t="s">
        <v>78</v>
      </c>
      <c r="Q1" s="40"/>
      <c r="R1" s="115"/>
      <c r="S1" s="114"/>
      <c r="T1" s="114"/>
      <c r="U1" s="114"/>
      <c r="V1" s="114"/>
      <c r="W1" s="73"/>
      <c r="X1" s="73"/>
      <c r="Y1" s="73"/>
      <c r="Z1" s="65"/>
    </row>
    <row r="2">
      <c r="A2" s="117"/>
      <c r="B2" s="118"/>
      <c r="C2" s="75"/>
      <c r="D2" s="75"/>
      <c r="E2" s="75"/>
      <c r="F2" s="117" t="s">
        <v>115</v>
      </c>
      <c r="G2" s="75"/>
      <c r="H2" s="75"/>
      <c r="I2" s="119">
        <f t="shared" ref="I2:J2" si="1">sum(I4:I1001)</f>
        <v>4475.415</v>
      </c>
      <c r="J2" s="119">
        <f t="shared" si="1"/>
        <v>189.815</v>
      </c>
      <c r="K2" s="120">
        <f>SUM(K4:K742)</f>
        <v>4285.6</v>
      </c>
      <c r="L2" s="119">
        <f t="shared" ref="L2:R2" si="2">sum(L4:L1001)</f>
        <v>600</v>
      </c>
      <c r="M2" s="119">
        <f t="shared" si="2"/>
        <v>3196.3</v>
      </c>
      <c r="N2" s="119">
        <f t="shared" si="2"/>
        <v>0</v>
      </c>
      <c r="O2" s="119">
        <f t="shared" si="2"/>
        <v>0</v>
      </c>
      <c r="P2" s="119">
        <f t="shared" si="2"/>
        <v>489.3</v>
      </c>
      <c r="Q2" s="119">
        <f t="shared" si="2"/>
        <v>0</v>
      </c>
      <c r="R2" s="119">
        <f t="shared" si="2"/>
        <v>0</v>
      </c>
      <c r="S2" s="75"/>
      <c r="T2" s="75"/>
      <c r="U2" s="75"/>
      <c r="V2" s="75"/>
      <c r="W2" s="74"/>
      <c r="X2" s="74"/>
      <c r="Y2" s="74"/>
      <c r="Z2" s="65"/>
    </row>
    <row r="3">
      <c r="A3" s="82" t="s">
        <v>79</v>
      </c>
      <c r="B3" s="121" t="s">
        <v>80</v>
      </c>
      <c r="C3" s="122" t="s">
        <v>81</v>
      </c>
      <c r="D3" s="123" t="s">
        <v>82</v>
      </c>
      <c r="E3" s="122" t="s">
        <v>83</v>
      </c>
      <c r="F3" s="124" t="s">
        <v>11</v>
      </c>
      <c r="G3" s="125" t="s">
        <v>84</v>
      </c>
      <c r="H3" s="66" t="s">
        <v>8</v>
      </c>
      <c r="I3" s="86" t="s">
        <v>85</v>
      </c>
      <c r="J3" s="126" t="s">
        <v>46</v>
      </c>
      <c r="K3" s="122" t="s">
        <v>7</v>
      </c>
      <c r="L3" s="127" t="s">
        <v>86</v>
      </c>
      <c r="M3" s="127" t="s">
        <v>47</v>
      </c>
      <c r="N3" s="127" t="s">
        <v>87</v>
      </c>
      <c r="O3" s="127" t="s">
        <v>88</v>
      </c>
      <c r="P3" s="127" t="s">
        <v>89</v>
      </c>
      <c r="Q3" s="127" t="s">
        <v>90</v>
      </c>
      <c r="R3" s="127" t="s">
        <v>91</v>
      </c>
      <c r="S3" s="128" t="s">
        <v>92</v>
      </c>
      <c r="T3" s="129" t="s">
        <v>93</v>
      </c>
      <c r="U3" s="125" t="s">
        <v>51</v>
      </c>
      <c r="V3" s="125" t="s">
        <v>94</v>
      </c>
      <c r="W3" s="125" t="s">
        <v>116</v>
      </c>
      <c r="X3" s="125" t="s">
        <v>117</v>
      </c>
      <c r="Y3" s="125" t="s">
        <v>118</v>
      </c>
      <c r="Z3" s="65"/>
    </row>
    <row r="4">
      <c r="A4" s="90">
        <v>1.0</v>
      </c>
      <c r="B4" s="130">
        <v>46028.0</v>
      </c>
      <c r="C4" s="131" t="s">
        <v>119</v>
      </c>
      <c r="D4" s="131" t="b">
        <v>0</v>
      </c>
      <c r="E4" s="131" t="s">
        <v>97</v>
      </c>
      <c r="F4" s="131" t="s">
        <v>120</v>
      </c>
      <c r="G4" s="132">
        <v>399.3</v>
      </c>
      <c r="H4" s="132" t="s">
        <v>121</v>
      </c>
      <c r="I4" s="133">
        <f t="shared" ref="I4:I7" si="3">sum(J4:K4)</f>
        <v>1886.85</v>
      </c>
      <c r="J4" s="134">
        <f t="shared" ref="J4:J7" si="4">sum(L4:N4)*5%</f>
        <v>89.85</v>
      </c>
      <c r="K4" s="133">
        <f t="shared" ref="K4:K7" si="5">L4+M4+N4+P4+O4+R4+(Q4*(1-42%))</f>
        <v>1797</v>
      </c>
      <c r="L4" s="17"/>
      <c r="M4" s="135">
        <f>599*3</f>
        <v>1797</v>
      </c>
      <c r="N4" s="12"/>
      <c r="O4" s="12"/>
      <c r="P4" s="12"/>
      <c r="Q4" s="12"/>
      <c r="R4" s="12"/>
      <c r="S4" s="135" t="s">
        <v>122</v>
      </c>
      <c r="T4" s="12"/>
      <c r="U4" s="12"/>
      <c r="V4" s="12"/>
      <c r="W4" s="12"/>
      <c r="X4" s="12"/>
      <c r="Y4" s="12"/>
      <c r="Z4" s="12"/>
    </row>
    <row r="5">
      <c r="A5" s="100">
        <v>2.0</v>
      </c>
      <c r="B5" s="130">
        <v>46028.0</v>
      </c>
      <c r="C5" s="131" t="s">
        <v>123</v>
      </c>
      <c r="D5" s="131" t="b">
        <v>0</v>
      </c>
      <c r="E5" s="131" t="s">
        <v>106</v>
      </c>
      <c r="F5" s="12"/>
      <c r="G5" s="136"/>
      <c r="H5" s="137" t="s">
        <v>124</v>
      </c>
      <c r="I5" s="138">
        <f t="shared" si="3"/>
        <v>489.3</v>
      </c>
      <c r="J5" s="134">
        <f t="shared" si="4"/>
        <v>0</v>
      </c>
      <c r="K5" s="138">
        <f t="shared" si="5"/>
        <v>489.3</v>
      </c>
      <c r="L5" s="136"/>
      <c r="M5" s="12"/>
      <c r="N5" s="12"/>
      <c r="O5" s="12"/>
      <c r="P5" s="135">
        <v>489.3</v>
      </c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90">
        <v>3.0</v>
      </c>
      <c r="B6" s="139">
        <v>46179.0</v>
      </c>
      <c r="C6" s="140" t="s">
        <v>125</v>
      </c>
      <c r="D6" s="140" t="b">
        <v>0</v>
      </c>
      <c r="E6" s="140" t="s">
        <v>102</v>
      </c>
      <c r="F6" s="140" t="s">
        <v>126</v>
      </c>
      <c r="G6" s="141">
        <v>1399.3</v>
      </c>
      <c r="H6" s="142" t="s">
        <v>127</v>
      </c>
      <c r="I6" s="143">
        <f t="shared" si="3"/>
        <v>1469.265</v>
      </c>
      <c r="J6" s="144">
        <f t="shared" si="4"/>
        <v>69.965</v>
      </c>
      <c r="K6" s="143">
        <f t="shared" si="5"/>
        <v>1399.3</v>
      </c>
      <c r="L6" s="145"/>
      <c r="M6" s="146">
        <v>1399.3</v>
      </c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>
      <c r="A7" s="100">
        <v>4.0</v>
      </c>
      <c r="B7" s="130">
        <v>46179.0</v>
      </c>
      <c r="C7" s="131" t="s">
        <v>128</v>
      </c>
      <c r="D7" s="131" t="b">
        <v>0</v>
      </c>
      <c r="E7" s="131" t="s">
        <v>111</v>
      </c>
      <c r="F7" s="131" t="s">
        <v>112</v>
      </c>
      <c r="G7" s="148">
        <v>600.0</v>
      </c>
      <c r="H7" s="137" t="s">
        <v>129</v>
      </c>
      <c r="I7" s="138">
        <f t="shared" si="3"/>
        <v>630</v>
      </c>
      <c r="J7" s="134">
        <f t="shared" si="4"/>
        <v>30</v>
      </c>
      <c r="K7" s="138">
        <f t="shared" si="5"/>
        <v>600</v>
      </c>
      <c r="L7" s="148">
        <v>600.0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</sheetData>
  <mergeCells count="1">
    <mergeCell ref="P1:Q1"/>
  </mergeCells>
  <dataValidations>
    <dataValidation type="list" allowBlank="1" showErrorMessage="1" sqref="E4:E7">
      <formula1>"Beauty Therapy,IV Therapy,Aesthetic,Laser,Home beauty,Peptides"</formula1>
    </dataValidation>
    <dataValidation type="list" allowBlank="1" showErrorMessage="1" sqref="X4:X7">
      <formula1>"Promotions,Follow up,Still"</formula1>
    </dataValidation>
    <dataValidation type="list" allowBlank="1" showErrorMessage="1" sqref="W4 F4:F7 W6:W7">
      <formula1>"Doctor Haifa,Therapist Fatima,Therapist Fatoom,Nurse Sowmiya,Nurse Anu,Therapist Hanu,Ms. Riti,Utkash,Hannah,Dinel,michael,Amelia"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9.5" customHeight="1">
      <c r="A1" s="149" t="s">
        <v>130</v>
      </c>
    </row>
    <row r="2">
      <c r="A2" s="150" t="s">
        <v>131</v>
      </c>
      <c r="B2" s="151"/>
      <c r="C2" s="151"/>
      <c r="D2" s="151"/>
      <c r="E2" s="151"/>
      <c r="F2" s="151"/>
      <c r="G2" s="151"/>
      <c r="H2" s="151"/>
      <c r="I2" s="151"/>
    </row>
    <row r="3">
      <c r="A3" s="152" t="s">
        <v>132</v>
      </c>
      <c r="B3" s="153" t="s">
        <v>133</v>
      </c>
      <c r="C3" s="153" t="s">
        <v>134</v>
      </c>
      <c r="D3" s="154" t="s">
        <v>135</v>
      </c>
      <c r="E3" s="153" t="s">
        <v>86</v>
      </c>
      <c r="F3" s="153" t="s">
        <v>136</v>
      </c>
      <c r="G3" s="153" t="s">
        <v>137</v>
      </c>
      <c r="H3" s="153" t="s">
        <v>78</v>
      </c>
      <c r="I3" s="155" t="s">
        <v>138</v>
      </c>
    </row>
    <row r="4">
      <c r="A4" s="156">
        <v>1.0</v>
      </c>
      <c r="B4" s="153" t="s">
        <v>139</v>
      </c>
      <c r="C4" s="157">
        <v>1.0</v>
      </c>
      <c r="D4" s="158">
        <v>538.2</v>
      </c>
      <c r="E4" s="159"/>
      <c r="F4" s="53"/>
      <c r="G4" s="53"/>
      <c r="H4" s="158">
        <v>538.2</v>
      </c>
      <c r="I4" s="158">
        <v>376.74</v>
      </c>
      <c r="J4" s="33" t="s">
        <v>140</v>
      </c>
    </row>
    <row r="5">
      <c r="A5" s="156">
        <v>2.0</v>
      </c>
      <c r="B5" s="153" t="s">
        <v>141</v>
      </c>
      <c r="C5" s="157">
        <v>1.0</v>
      </c>
      <c r="D5" s="158">
        <f>sum(E5:H5)</f>
        <v>3597.3</v>
      </c>
      <c r="E5" s="158">
        <v>1000.0</v>
      </c>
      <c r="F5" s="158">
        <v>2097.3</v>
      </c>
      <c r="G5" s="158">
        <v>500.0</v>
      </c>
      <c r="H5" s="12"/>
      <c r="I5" s="160">
        <f>E5+2550.5</f>
        <v>3550.5</v>
      </c>
    </row>
    <row r="6">
      <c r="A6" s="161">
        <v>3.0</v>
      </c>
      <c r="B6" s="162" t="s">
        <v>142</v>
      </c>
      <c r="C6" s="157">
        <v>1.0</v>
      </c>
      <c r="D6" s="158">
        <v>3500.0</v>
      </c>
      <c r="E6" s="159">
        <v>500.0</v>
      </c>
      <c r="F6" s="158">
        <v>1500.0</v>
      </c>
      <c r="G6" s="159">
        <v>500.0</v>
      </c>
      <c r="H6" s="158">
        <v>500.0</v>
      </c>
      <c r="I6" s="160"/>
    </row>
    <row r="7">
      <c r="A7" s="161">
        <v>4.0</v>
      </c>
      <c r="B7" s="162" t="s">
        <v>143</v>
      </c>
      <c r="C7" s="163"/>
      <c r="D7" s="160"/>
      <c r="E7" s="53"/>
      <c r="F7" s="160"/>
      <c r="G7" s="53"/>
      <c r="H7" s="160"/>
      <c r="I7" s="160"/>
    </row>
    <row r="8">
      <c r="A8" s="65"/>
      <c r="B8" s="65"/>
      <c r="C8" s="65"/>
      <c r="D8" s="164"/>
      <c r="E8" s="165"/>
      <c r="F8" s="65"/>
      <c r="G8" s="65"/>
      <c r="H8" s="65"/>
      <c r="I8" s="164"/>
    </row>
  </sheetData>
  <mergeCells count="2">
    <mergeCell ref="A1:I1"/>
    <mergeCell ref="A2:I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6" t="s">
        <v>144</v>
      </c>
      <c r="B1" s="39"/>
      <c r="C1" s="39"/>
      <c r="D1" s="39"/>
      <c r="E1" s="39"/>
      <c r="F1" s="39"/>
      <c r="G1" s="39"/>
      <c r="H1" s="39"/>
      <c r="I1" s="39"/>
      <c r="J1" s="40"/>
    </row>
    <row r="2">
      <c r="A2" s="167"/>
      <c r="B2" s="168" t="s">
        <v>145</v>
      </c>
      <c r="C2" s="168" t="s">
        <v>146</v>
      </c>
      <c r="D2" s="169" t="s">
        <v>147</v>
      </c>
      <c r="E2" s="39"/>
      <c r="F2" s="39"/>
      <c r="G2" s="40"/>
      <c r="H2" s="170"/>
      <c r="I2" s="168" t="s">
        <v>148</v>
      </c>
      <c r="J2" s="168" t="s">
        <v>149</v>
      </c>
      <c r="K2" s="168" t="s">
        <v>150</v>
      </c>
    </row>
    <row r="3">
      <c r="A3" s="171"/>
      <c r="B3" s="171"/>
      <c r="C3" s="171"/>
      <c r="D3" s="172" t="s">
        <v>151</v>
      </c>
      <c r="E3" s="172" t="s">
        <v>106</v>
      </c>
      <c r="F3" s="172" t="s">
        <v>111</v>
      </c>
      <c r="G3" s="173" t="s">
        <v>102</v>
      </c>
      <c r="H3" s="174" t="s">
        <v>152</v>
      </c>
      <c r="I3" s="171"/>
      <c r="J3" s="171"/>
      <c r="K3" s="171"/>
    </row>
    <row r="4">
      <c r="A4" s="175" t="s">
        <v>153</v>
      </c>
      <c r="B4" s="176"/>
      <c r="C4" s="176"/>
      <c r="D4" s="14"/>
      <c r="E4" s="14"/>
      <c r="F4" s="177"/>
      <c r="G4" s="14"/>
      <c r="H4" s="178"/>
      <c r="I4" s="179"/>
      <c r="J4" s="180"/>
      <c r="K4" s="14"/>
    </row>
    <row r="5">
      <c r="A5" s="181" t="s">
        <v>154</v>
      </c>
      <c r="B5" s="176"/>
      <c r="C5" s="176"/>
      <c r="D5" s="182"/>
      <c r="E5" s="14"/>
      <c r="F5" s="14"/>
      <c r="G5" s="14"/>
      <c r="H5" s="178"/>
      <c r="I5" s="179"/>
      <c r="J5" s="180"/>
      <c r="K5" s="182"/>
    </row>
    <row r="6">
      <c r="A6" s="181" t="s">
        <v>155</v>
      </c>
      <c r="B6" s="176"/>
      <c r="C6" s="176"/>
      <c r="D6" s="14"/>
      <c r="E6" s="182"/>
      <c r="F6" s="14"/>
      <c r="G6" s="14"/>
      <c r="H6" s="53"/>
      <c r="I6" s="14"/>
      <c r="J6" s="180"/>
      <c r="K6" s="14"/>
    </row>
    <row r="7">
      <c r="A7" s="175" t="s">
        <v>156</v>
      </c>
      <c r="B7" s="176"/>
      <c r="C7" s="176"/>
      <c r="D7" s="17"/>
      <c r="E7" s="17"/>
      <c r="F7" s="17"/>
      <c r="G7" s="17"/>
      <c r="H7" s="53"/>
      <c r="I7" s="17"/>
      <c r="J7" s="180"/>
      <c r="K7" s="17"/>
    </row>
    <row r="8">
      <c r="A8" s="175" t="s">
        <v>157</v>
      </c>
      <c r="B8" s="176"/>
      <c r="C8" s="176"/>
      <c r="D8" s="17"/>
      <c r="E8" s="17"/>
      <c r="F8" s="17"/>
      <c r="G8" s="17"/>
      <c r="H8" s="53"/>
      <c r="I8" s="17"/>
      <c r="J8" s="180"/>
      <c r="K8" s="17"/>
    </row>
    <row r="9">
      <c r="A9" s="175" t="s">
        <v>158</v>
      </c>
      <c r="B9" s="176"/>
      <c r="C9" s="176"/>
      <c r="D9" s="183"/>
      <c r="E9" s="17"/>
      <c r="F9" s="17"/>
      <c r="G9" s="17"/>
      <c r="H9" s="184"/>
      <c r="I9" s="95"/>
      <c r="J9" s="185"/>
      <c r="K9" s="95"/>
    </row>
    <row r="10">
      <c r="A10" s="186" t="s">
        <v>159</v>
      </c>
      <c r="B10" s="176"/>
      <c r="C10" s="176"/>
      <c r="D10" s="183"/>
      <c r="E10" s="17"/>
      <c r="F10" s="17"/>
      <c r="G10" s="17"/>
      <c r="H10" s="184"/>
      <c r="I10" s="17"/>
      <c r="J10" s="180"/>
      <c r="K10" s="17"/>
    </row>
    <row r="12">
      <c r="A12" s="166" t="s">
        <v>160</v>
      </c>
      <c r="B12" s="39"/>
      <c r="C12" s="39"/>
      <c r="D12" s="39"/>
      <c r="E12" s="39"/>
      <c r="F12" s="39"/>
      <c r="G12" s="39"/>
      <c r="H12" s="39"/>
      <c r="I12" s="39"/>
      <c r="J12" s="39"/>
      <c r="K12" s="40"/>
    </row>
    <row r="13">
      <c r="A13" s="168" t="s">
        <v>116</v>
      </c>
      <c r="B13" s="168" t="s">
        <v>145</v>
      </c>
      <c r="C13" s="168" t="s">
        <v>146</v>
      </c>
      <c r="D13" s="169" t="s">
        <v>147</v>
      </c>
      <c r="E13" s="39"/>
      <c r="F13" s="39"/>
      <c r="G13" s="40"/>
      <c r="H13" s="170"/>
      <c r="I13" s="168" t="s">
        <v>148</v>
      </c>
      <c r="J13" s="168" t="s">
        <v>149</v>
      </c>
      <c r="K13" s="168" t="s">
        <v>150</v>
      </c>
    </row>
    <row r="14">
      <c r="A14" s="171"/>
      <c r="B14" s="171"/>
      <c r="C14" s="171"/>
      <c r="D14" s="172" t="s">
        <v>151</v>
      </c>
      <c r="E14" s="172" t="s">
        <v>106</v>
      </c>
      <c r="F14" s="172" t="s">
        <v>111</v>
      </c>
      <c r="G14" s="173" t="s">
        <v>102</v>
      </c>
      <c r="H14" s="174" t="s">
        <v>152</v>
      </c>
      <c r="I14" s="171"/>
      <c r="J14" s="171"/>
      <c r="K14" s="171"/>
    </row>
    <row r="15">
      <c r="A15" s="181" t="s">
        <v>161</v>
      </c>
      <c r="B15" s="187"/>
      <c r="C15" s="187"/>
      <c r="D15" s="53"/>
      <c r="E15" s="53"/>
      <c r="F15" s="53"/>
      <c r="G15" s="53"/>
      <c r="H15" s="178"/>
      <c r="I15" s="178"/>
      <c r="J15" s="53"/>
      <c r="K15" s="53"/>
    </row>
    <row r="16">
      <c r="A16" s="181" t="s">
        <v>158</v>
      </c>
      <c r="B16" s="187"/>
      <c r="C16" s="187"/>
      <c r="D16" s="53"/>
      <c r="E16" s="65"/>
      <c r="F16" s="188"/>
      <c r="G16" s="53"/>
      <c r="H16" s="178"/>
      <c r="I16" s="178"/>
      <c r="J16" s="53"/>
      <c r="K16" s="53"/>
    </row>
    <row r="17">
      <c r="A17" s="175" t="s">
        <v>162</v>
      </c>
      <c r="B17" s="187"/>
      <c r="C17" s="187"/>
      <c r="D17" s="53"/>
      <c r="E17" s="53"/>
      <c r="F17" s="53"/>
      <c r="G17" s="53"/>
      <c r="H17" s="178"/>
      <c r="I17" s="178"/>
      <c r="J17" s="53"/>
      <c r="K17" s="53"/>
    </row>
    <row r="18">
      <c r="A18" s="181" t="s">
        <v>163</v>
      </c>
      <c r="B18" s="187"/>
      <c r="C18" s="187"/>
      <c r="D18" s="53"/>
      <c r="E18" s="53"/>
      <c r="F18" s="53"/>
      <c r="G18" s="53"/>
      <c r="H18" s="53"/>
      <c r="I18" s="53"/>
      <c r="J18" s="53"/>
      <c r="K18" s="53"/>
    </row>
    <row r="19">
      <c r="A19" s="181" t="s">
        <v>153</v>
      </c>
      <c r="B19" s="187"/>
      <c r="C19" s="187"/>
      <c r="D19" s="53"/>
      <c r="E19" s="53"/>
      <c r="F19" s="53"/>
      <c r="G19" s="53"/>
      <c r="H19" s="53"/>
      <c r="I19" s="53"/>
      <c r="J19" s="53"/>
      <c r="K19" s="53"/>
    </row>
    <row r="20">
      <c r="A20" s="181" t="s">
        <v>164</v>
      </c>
      <c r="B20" s="187"/>
      <c r="C20" s="187"/>
      <c r="D20" s="53"/>
      <c r="E20" s="53"/>
      <c r="F20" s="53"/>
      <c r="G20" s="53"/>
      <c r="H20" s="53"/>
      <c r="I20" s="53"/>
      <c r="J20" s="53"/>
      <c r="K20" s="53"/>
    </row>
    <row r="21">
      <c r="A21" s="186" t="s">
        <v>159</v>
      </c>
      <c r="B21" s="176"/>
      <c r="C21" s="176"/>
      <c r="D21" s="183"/>
      <c r="E21" s="17"/>
      <c r="F21" s="17"/>
      <c r="G21" s="17"/>
      <c r="H21" s="184"/>
      <c r="I21" s="17"/>
      <c r="J21" s="180"/>
      <c r="K21" s="17"/>
    </row>
    <row r="23" ht="20.25" customHeight="1">
      <c r="A23" s="166" t="s">
        <v>165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40"/>
    </row>
    <row r="24" ht="33.75" customHeight="1">
      <c r="A24" s="189" t="s">
        <v>166</v>
      </c>
      <c r="B24" s="190" t="s">
        <v>167</v>
      </c>
      <c r="C24" s="190" t="s">
        <v>168</v>
      </c>
      <c r="D24" s="191" t="s">
        <v>169</v>
      </c>
      <c r="E24" s="191" t="s">
        <v>170</v>
      </c>
      <c r="F24" s="191" t="s">
        <v>171</v>
      </c>
      <c r="G24" s="191" t="s">
        <v>172</v>
      </c>
      <c r="H24" s="191" t="s">
        <v>173</v>
      </c>
      <c r="I24" s="191" t="s">
        <v>170</v>
      </c>
      <c r="J24" s="192" t="s">
        <v>174</v>
      </c>
      <c r="K24" s="193" t="s">
        <v>175</v>
      </c>
      <c r="L24" s="194" t="s">
        <v>176</v>
      </c>
      <c r="M24" s="194" t="s">
        <v>177</v>
      </c>
    </row>
    <row r="25">
      <c r="A25" s="172" t="s">
        <v>178</v>
      </c>
      <c r="B25" s="195"/>
      <c r="C25" s="195"/>
      <c r="D25" s="196"/>
      <c r="E25" s="196"/>
      <c r="F25" s="196"/>
      <c r="G25" s="196"/>
      <c r="H25" s="196"/>
      <c r="I25" s="196"/>
      <c r="J25" s="197"/>
      <c r="K25" s="198"/>
      <c r="L25" s="199"/>
      <c r="M25" s="199"/>
    </row>
    <row r="26">
      <c r="A26" s="172" t="s">
        <v>179</v>
      </c>
      <c r="B26" s="195"/>
      <c r="C26" s="195"/>
      <c r="D26" s="196"/>
      <c r="E26" s="196"/>
      <c r="F26" s="196"/>
      <c r="G26" s="196"/>
      <c r="H26" s="196"/>
      <c r="I26" s="196"/>
      <c r="J26" s="197"/>
      <c r="K26" s="198"/>
      <c r="L26" s="199"/>
      <c r="M26" s="199"/>
    </row>
    <row r="27">
      <c r="A27" s="172" t="s">
        <v>180</v>
      </c>
      <c r="B27" s="195"/>
      <c r="C27" s="195"/>
      <c r="D27" s="196"/>
      <c r="E27" s="196"/>
      <c r="F27" s="196"/>
      <c r="G27" s="196"/>
      <c r="H27" s="196"/>
      <c r="I27" s="196"/>
      <c r="J27" s="197"/>
      <c r="K27" s="198"/>
      <c r="L27" s="199"/>
      <c r="M27" s="199"/>
    </row>
    <row r="28">
      <c r="A28" s="172" t="s">
        <v>181</v>
      </c>
      <c r="B28" s="195"/>
      <c r="C28" s="195"/>
      <c r="D28" s="196"/>
      <c r="E28" s="196"/>
      <c r="F28" s="196"/>
      <c r="G28" s="196"/>
      <c r="H28" s="196"/>
      <c r="I28" s="196"/>
      <c r="J28" s="197"/>
      <c r="K28" s="198"/>
      <c r="L28" s="199"/>
      <c r="M28" s="199"/>
    </row>
    <row r="29">
      <c r="A29" s="200" t="s">
        <v>149</v>
      </c>
      <c r="B29" s="201"/>
      <c r="C29" s="201"/>
      <c r="D29" s="201"/>
      <c r="E29" s="201"/>
      <c r="F29" s="201"/>
      <c r="G29" s="201"/>
      <c r="H29" s="201"/>
      <c r="I29" s="201"/>
      <c r="J29" s="201"/>
      <c r="K29" s="201"/>
      <c r="L29" s="201"/>
      <c r="M29" s="201"/>
    </row>
  </sheetData>
  <mergeCells count="17">
    <mergeCell ref="A1:J1"/>
    <mergeCell ref="A2:A3"/>
    <mergeCell ref="B2:B3"/>
    <mergeCell ref="C2:C3"/>
    <mergeCell ref="I2:I3"/>
    <mergeCell ref="J2:J3"/>
    <mergeCell ref="K2:K3"/>
    <mergeCell ref="J13:J14"/>
    <mergeCell ref="K13:K14"/>
    <mergeCell ref="A23:M23"/>
    <mergeCell ref="D2:G2"/>
    <mergeCell ref="A12:K12"/>
    <mergeCell ref="A13:A14"/>
    <mergeCell ref="B13:B14"/>
    <mergeCell ref="C13:C14"/>
    <mergeCell ref="D13:G13"/>
    <mergeCell ref="I13:I1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2" t="s">
        <v>80</v>
      </c>
      <c r="B1" s="203" t="s">
        <v>182</v>
      </c>
      <c r="C1" s="204" t="s">
        <v>183</v>
      </c>
      <c r="D1" s="204" t="s">
        <v>184</v>
      </c>
      <c r="E1" s="204" t="s">
        <v>185</v>
      </c>
      <c r="F1" s="205" t="s">
        <v>186</v>
      </c>
      <c r="G1" s="206">
        <f>sum(D2:D230)</f>
        <v>5100</v>
      </c>
    </row>
    <row r="2">
      <c r="A2" s="207">
        <v>46174.0</v>
      </c>
      <c r="B2" s="208" t="s">
        <v>187</v>
      </c>
      <c r="C2" s="209" t="s">
        <v>188</v>
      </c>
      <c r="D2" s="210">
        <v>5000.0</v>
      </c>
      <c r="E2" s="208" t="s">
        <v>189</v>
      </c>
      <c r="F2" s="211" t="b">
        <v>1</v>
      </c>
      <c r="G2" s="212" t="s">
        <v>190</v>
      </c>
    </row>
    <row r="3">
      <c r="A3" s="207">
        <v>46175.0</v>
      </c>
      <c r="B3" s="210" t="s">
        <v>191</v>
      </c>
      <c r="C3" s="209" t="s">
        <v>192</v>
      </c>
      <c r="D3" s="210">
        <v>100.0</v>
      </c>
      <c r="E3" s="210" t="s">
        <v>193</v>
      </c>
      <c r="F3" s="211" t="b">
        <v>1</v>
      </c>
      <c r="G3" s="212" t="s">
        <v>190</v>
      </c>
    </row>
  </sheetData>
  <dataValidations>
    <dataValidation type="list" allowBlank="1" showErrorMessage="1" sqref="B2:B3">
      <formula1>"Car &amp; Fuel,Lounge ,Medical Supplies,Utility,MISC,VISA And DHA,Marketing"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3" t="s">
        <v>80</v>
      </c>
      <c r="B1" s="214" t="s">
        <v>182</v>
      </c>
      <c r="C1" s="214" t="s">
        <v>182</v>
      </c>
      <c r="D1" s="215" t="s">
        <v>183</v>
      </c>
      <c r="E1" s="216" t="s">
        <v>184</v>
      </c>
      <c r="F1" s="215" t="s">
        <v>185</v>
      </c>
      <c r="G1" s="217" t="s">
        <v>186</v>
      </c>
      <c r="H1" s="218">
        <f>sum(E2:E223)</f>
        <v>50050</v>
      </c>
      <c r="I1" s="219"/>
    </row>
    <row r="2">
      <c r="A2" s="220" t="s">
        <v>15</v>
      </c>
      <c r="B2" s="221" t="s">
        <v>194</v>
      </c>
      <c r="C2" s="221" t="s">
        <v>195</v>
      </c>
      <c r="D2" s="222" t="s">
        <v>196</v>
      </c>
      <c r="E2" s="223">
        <v>50.0</v>
      </c>
      <c r="F2" s="220" t="s">
        <v>193</v>
      </c>
      <c r="G2" s="221" t="b">
        <v>0</v>
      </c>
      <c r="H2" s="224" t="s">
        <v>190</v>
      </c>
      <c r="I2" s="225"/>
    </row>
    <row r="3">
      <c r="A3" s="226" t="s">
        <v>23</v>
      </c>
      <c r="B3" s="221" t="s">
        <v>197</v>
      </c>
      <c r="C3" s="221" t="s">
        <v>198</v>
      </c>
      <c r="D3" s="226" t="s">
        <v>199</v>
      </c>
      <c r="E3" s="227">
        <v>50000.0</v>
      </c>
      <c r="F3" s="226" t="s">
        <v>189</v>
      </c>
      <c r="G3" s="221" t="b">
        <v>1</v>
      </c>
      <c r="H3" s="224" t="s">
        <v>190</v>
      </c>
    </row>
  </sheetData>
  <dataValidations>
    <dataValidation type="list" allowBlank="1" showErrorMessage="1" sqref="C2:C3">
      <formula1>"OpEx,CapEx"</formula1>
    </dataValidation>
    <dataValidation type="list" allowBlank="1" showErrorMessage="1" sqref="B2:B3">
      <formula1>"Branding,Furniture,Electronics ,Machines,MISC,Utility,Marketing,VISA+DHA"</formula1>
    </dataValidation>
  </dataValidations>
  <drawing r:id="rId1"/>
</worksheet>
</file>